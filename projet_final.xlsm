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ink/ink1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khouloudinfini2\"/>
    </mc:Choice>
  </mc:AlternateContent>
  <xr:revisionPtr revIDLastSave="0" documentId="13_ncr:1_{E6E9B805-0119-4893-9C0A-91EB0EC98BC2}" xr6:coauthVersionLast="46" xr6:coauthVersionMax="46" xr10:uidLastSave="{00000000-0000-0000-0000-000000000000}"/>
  <bookViews>
    <workbookView xWindow="-108" yWindow="-108" windowWidth="23256" windowHeight="12576" xr2:uid="{56DEC67C-9B3D-47E4-BB9E-BE06C7DBECA5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2" l="1"/>
  <c r="H14" i="2"/>
  <c r="A16" i="1" l="1"/>
  <c r="A15" i="1"/>
  <c r="A14" i="1"/>
  <c r="A13" i="1"/>
</calcChain>
</file>

<file path=xl/sharedStrings.xml><?xml version="1.0" encoding="utf-8"?>
<sst xmlns="http://schemas.openxmlformats.org/spreadsheetml/2006/main" count="21" uniqueCount="21">
  <si>
    <t>Cours de l'action(S)</t>
  </si>
  <si>
    <t xml:space="preserve">Prix d'exercice du sous-jacent </t>
  </si>
  <si>
    <t>Taux(r)</t>
  </si>
  <si>
    <t>Rendement du dividende(q)</t>
  </si>
  <si>
    <t>maturité(T)</t>
  </si>
  <si>
    <t>Volatiluté de l'action (V)</t>
  </si>
  <si>
    <t>pas de temps(t)</t>
  </si>
  <si>
    <t>OpType</t>
  </si>
  <si>
    <t>ExType</t>
  </si>
  <si>
    <t>call</t>
  </si>
  <si>
    <t>put</t>
  </si>
  <si>
    <t>european</t>
  </si>
  <si>
    <t>american</t>
  </si>
  <si>
    <t>u</t>
  </si>
  <si>
    <t>A</t>
  </si>
  <si>
    <t>P</t>
  </si>
  <si>
    <t>SEANCE</t>
  </si>
  <si>
    <t>BIAT</t>
  </si>
  <si>
    <t>volatilité</t>
  </si>
  <si>
    <t>nbre</t>
  </si>
  <si>
    <t>BIAT:rendement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</si>
</sst>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11" x14ac:knownFonts="1">
    <font>
      <sz val="11"/>
      <color theme="1"/>
      <name val="Calibri"/>
      <family val="2"/>
      <scheme val="minor"/>
    </font>
    <font>
      <u val="double"/>
      <sz val="20"/>
      <color rgb="FF993366"/>
      <name val="Calibri"/>
      <family val="2"/>
    </font>
    <font>
      <u/>
      <sz val="18"/>
      <color rgb="FFFF6600"/>
      <name val="Calibri"/>
      <family val="2"/>
    </font>
    <font>
      <u val="double"/>
      <sz val="18"/>
      <color rgb="FFFF00FF"/>
      <name val="Calibri"/>
      <family val="2"/>
    </font>
    <font>
      <u val="double"/>
      <sz val="24"/>
      <color rgb="FFFF9900"/>
      <name val="Calibri"/>
      <family val="2"/>
    </font>
    <font>
      <u val="double"/>
      <sz val="18"/>
      <color rgb="FF993366"/>
      <name val="Calibri"/>
      <family val="2"/>
    </font>
    <font>
      <u val="double"/>
      <sz val="24"/>
      <color rgb="FF993300"/>
      <name val="Calibri"/>
      <family val="2"/>
    </font>
    <font>
      <sz val="11"/>
      <color theme="2" tint="-0.249977111117893"/>
      <name val="Calibri"/>
      <family val="2"/>
      <scheme val="minor"/>
    </font>
    <font>
      <u val="double"/>
      <sz val="16"/>
      <color rgb="FF666699"/>
      <name val="Calibri"/>
      <family val="2"/>
    </font>
    <font>
      <b/>
      <u val="double"/>
      <vertAlign val="superscript"/>
      <sz val="28"/>
      <color rgb="FF33CCCC"/>
      <name val="Calibri"/>
      <family val="2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29">
    <xf numFmtId="0" fontId="0" fillId="0" borderId="0" xfId="0"/>
    <xf numFmtId="0" fontId="0" fillId="3" borderId="0" xfId="0" applyFill="1" applyBorder="1"/>
    <xf numFmtId="0" fontId="0" fillId="4" borderId="9" xfId="0" applyFill="1" applyBorder="1"/>
    <xf numFmtId="10" fontId="0" fillId="4" borderId="9" xfId="0" applyNumberFormat="1" applyFill="1" applyBorder="1"/>
    <xf numFmtId="9" fontId="0" fillId="4" borderId="9" xfId="0" applyNumberFormat="1" applyFill="1" applyBorder="1"/>
    <xf numFmtId="0" fontId="0" fillId="4" borderId="9" xfId="0" quotePrefix="1" applyFill="1" applyBorder="1"/>
    <xf numFmtId="0" fontId="0" fillId="4" borderId="9" xfId="0" quotePrefix="1" applyFill="1" applyBorder="1" applyAlignment="1" applyProtection="1">
      <alignment horizontal="center"/>
      <protection hidden="1"/>
    </xf>
    <xf numFmtId="0" fontId="0" fillId="0" borderId="10" xfId="0" applyBorder="1"/>
    <xf numFmtId="0" fontId="0" fillId="5" borderId="11" xfId="0" applyFill="1" applyBorder="1"/>
    <xf numFmtId="0" fontId="0" fillId="5" borderId="13" xfId="0" applyFill="1" applyBorder="1"/>
    <xf numFmtId="0" fontId="0" fillId="5" borderId="16" xfId="0" applyFill="1" applyBorder="1"/>
    <xf numFmtId="0" fontId="0" fillId="5" borderId="12" xfId="0" applyFill="1" applyBorder="1"/>
    <xf numFmtId="0" fontId="0" fillId="5" borderId="15" xfId="0" applyFill="1" applyBorder="1"/>
    <xf numFmtId="0" fontId="0" fillId="5" borderId="14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7" fillId="2" borderId="0" xfId="0" applyFont="1" applyFill="1" applyBorder="1"/>
    <xf numFmtId="10" fontId="0" fillId="0" borderId="0" xfId="0" applyNumberFormat="1"/>
    <xf numFmtId="0" fontId="0" fillId="0" borderId="17" xfId="0" applyBorder="1"/>
    <xf numFmtId="9" fontId="0" fillId="0" borderId="17" xfId="2" applyFont="1" applyBorder="1"/>
    <xf numFmtId="0" fontId="0" fillId="0" borderId="17" xfId="1" applyNumberFormat="1" applyFont="1" applyBorder="1"/>
    <xf numFmtId="14" fontId="0" fillId="0" borderId="17" xfId="0" applyNumberFormat="1" applyBorder="1"/>
  </cellXfs>
  <cellStyles count="3">
    <cellStyle name="Monétaire" xfId="1" builtinId="4"/>
    <cellStyle name="Normal" xfId="0" builtinId="0"/>
    <cellStyle name="Pourcentage" xfId="2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Feuil2!$B$1</c:f>
              <c:strCache>
                <c:ptCount val="1"/>
                <c:pt idx="0">
                  <c:v>BIAT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Feuil2!$B$2:$B$250</c:f>
              <c:numCache>
                <c:formatCode>General</c:formatCode>
                <c:ptCount val="249"/>
                <c:pt idx="0">
                  <c:v>119.49</c:v>
                </c:pt>
                <c:pt idx="1">
                  <c:v>120</c:v>
                </c:pt>
                <c:pt idx="2">
                  <c:v>117.99</c:v>
                </c:pt>
                <c:pt idx="3">
                  <c:v>117</c:v>
                </c:pt>
                <c:pt idx="4">
                  <c:v>117.3</c:v>
                </c:pt>
                <c:pt idx="5">
                  <c:v>115</c:v>
                </c:pt>
                <c:pt idx="6">
                  <c:v>112.01</c:v>
                </c:pt>
                <c:pt idx="7">
                  <c:v>111.02</c:v>
                </c:pt>
                <c:pt idx="8">
                  <c:v>112.99</c:v>
                </c:pt>
                <c:pt idx="9">
                  <c:v>112.3</c:v>
                </c:pt>
                <c:pt idx="10">
                  <c:v>117.5</c:v>
                </c:pt>
                <c:pt idx="11">
                  <c:v>119.81</c:v>
                </c:pt>
                <c:pt idx="12">
                  <c:v>121.99</c:v>
                </c:pt>
                <c:pt idx="13">
                  <c:v>121.98</c:v>
                </c:pt>
                <c:pt idx="14">
                  <c:v>121.9</c:v>
                </c:pt>
                <c:pt idx="15">
                  <c:v>120.4</c:v>
                </c:pt>
                <c:pt idx="16">
                  <c:v>121.09</c:v>
                </c:pt>
                <c:pt idx="17">
                  <c:v>119</c:v>
                </c:pt>
                <c:pt idx="18">
                  <c:v>119</c:v>
                </c:pt>
                <c:pt idx="19">
                  <c:v>120</c:v>
                </c:pt>
                <c:pt idx="20">
                  <c:v>120.88</c:v>
                </c:pt>
                <c:pt idx="21">
                  <c:v>120</c:v>
                </c:pt>
                <c:pt idx="22">
                  <c:v>119.75</c:v>
                </c:pt>
                <c:pt idx="23">
                  <c:v>119.75</c:v>
                </c:pt>
                <c:pt idx="24">
                  <c:v>118.1</c:v>
                </c:pt>
                <c:pt idx="25">
                  <c:v>116.95</c:v>
                </c:pt>
                <c:pt idx="26">
                  <c:v>116</c:v>
                </c:pt>
                <c:pt idx="27">
                  <c:v>116</c:v>
                </c:pt>
                <c:pt idx="28">
                  <c:v>115</c:v>
                </c:pt>
                <c:pt idx="29">
                  <c:v>114</c:v>
                </c:pt>
                <c:pt idx="30">
                  <c:v>115</c:v>
                </c:pt>
                <c:pt idx="31">
                  <c:v>115</c:v>
                </c:pt>
                <c:pt idx="32">
                  <c:v>115</c:v>
                </c:pt>
                <c:pt idx="33">
                  <c:v>115</c:v>
                </c:pt>
                <c:pt idx="34">
                  <c:v>114</c:v>
                </c:pt>
                <c:pt idx="35">
                  <c:v>115</c:v>
                </c:pt>
                <c:pt idx="36">
                  <c:v>113</c:v>
                </c:pt>
                <c:pt idx="37">
                  <c:v>117</c:v>
                </c:pt>
                <c:pt idx="38">
                  <c:v>115</c:v>
                </c:pt>
                <c:pt idx="39">
                  <c:v>116</c:v>
                </c:pt>
                <c:pt idx="40">
                  <c:v>116.35</c:v>
                </c:pt>
                <c:pt idx="41">
                  <c:v>116.39</c:v>
                </c:pt>
                <c:pt idx="42">
                  <c:v>115</c:v>
                </c:pt>
                <c:pt idx="43">
                  <c:v>115.99</c:v>
                </c:pt>
                <c:pt idx="44">
                  <c:v>113.85</c:v>
                </c:pt>
                <c:pt idx="45">
                  <c:v>113</c:v>
                </c:pt>
                <c:pt idx="46">
                  <c:v>115</c:v>
                </c:pt>
                <c:pt idx="47">
                  <c:v>113.5</c:v>
                </c:pt>
                <c:pt idx="48">
                  <c:v>113</c:v>
                </c:pt>
                <c:pt idx="49">
                  <c:v>112.3</c:v>
                </c:pt>
                <c:pt idx="50">
                  <c:v>106.1</c:v>
                </c:pt>
                <c:pt idx="51">
                  <c:v>112</c:v>
                </c:pt>
                <c:pt idx="52">
                  <c:v>107.8</c:v>
                </c:pt>
                <c:pt idx="53">
                  <c:v>110.99</c:v>
                </c:pt>
                <c:pt idx="54">
                  <c:v>109.5</c:v>
                </c:pt>
                <c:pt idx="55">
                  <c:v>113.63</c:v>
                </c:pt>
                <c:pt idx="56">
                  <c:v>119.48</c:v>
                </c:pt>
                <c:pt idx="57">
                  <c:v>119.9</c:v>
                </c:pt>
                <c:pt idx="58">
                  <c:v>119.49</c:v>
                </c:pt>
                <c:pt idx="59">
                  <c:v>119</c:v>
                </c:pt>
                <c:pt idx="60">
                  <c:v>116.93</c:v>
                </c:pt>
                <c:pt idx="61">
                  <c:v>116</c:v>
                </c:pt>
                <c:pt idx="62">
                  <c:v>117</c:v>
                </c:pt>
                <c:pt idx="63">
                  <c:v>116</c:v>
                </c:pt>
                <c:pt idx="64">
                  <c:v>116</c:v>
                </c:pt>
                <c:pt idx="65">
                  <c:v>118.5</c:v>
                </c:pt>
                <c:pt idx="66">
                  <c:v>115</c:v>
                </c:pt>
                <c:pt idx="67">
                  <c:v>114.9</c:v>
                </c:pt>
                <c:pt idx="68">
                  <c:v>115</c:v>
                </c:pt>
                <c:pt idx="69">
                  <c:v>117.7</c:v>
                </c:pt>
                <c:pt idx="70">
                  <c:v>114.98</c:v>
                </c:pt>
                <c:pt idx="71">
                  <c:v>115</c:v>
                </c:pt>
                <c:pt idx="72">
                  <c:v>116.6</c:v>
                </c:pt>
                <c:pt idx="73">
                  <c:v>116.9</c:v>
                </c:pt>
                <c:pt idx="74">
                  <c:v>116.85</c:v>
                </c:pt>
                <c:pt idx="75">
                  <c:v>114</c:v>
                </c:pt>
                <c:pt idx="76">
                  <c:v>114.99</c:v>
                </c:pt>
                <c:pt idx="77">
                  <c:v>114.03</c:v>
                </c:pt>
                <c:pt idx="78">
                  <c:v>113.95</c:v>
                </c:pt>
                <c:pt idx="79">
                  <c:v>113.95</c:v>
                </c:pt>
                <c:pt idx="80">
                  <c:v>116</c:v>
                </c:pt>
                <c:pt idx="81">
                  <c:v>114.02</c:v>
                </c:pt>
                <c:pt idx="82">
                  <c:v>115</c:v>
                </c:pt>
                <c:pt idx="83">
                  <c:v>117.39</c:v>
                </c:pt>
                <c:pt idx="84">
                  <c:v>115.5</c:v>
                </c:pt>
                <c:pt idx="85">
                  <c:v>116</c:v>
                </c:pt>
                <c:pt idx="86">
                  <c:v>117.61</c:v>
                </c:pt>
                <c:pt idx="87">
                  <c:v>119.95</c:v>
                </c:pt>
                <c:pt idx="88">
                  <c:v>118.35</c:v>
                </c:pt>
                <c:pt idx="89">
                  <c:v>115.5</c:v>
                </c:pt>
                <c:pt idx="90">
                  <c:v>114.5</c:v>
                </c:pt>
                <c:pt idx="91">
                  <c:v>113</c:v>
                </c:pt>
                <c:pt idx="92">
                  <c:v>113</c:v>
                </c:pt>
                <c:pt idx="93">
                  <c:v>112.8</c:v>
                </c:pt>
                <c:pt idx="94">
                  <c:v>112.8</c:v>
                </c:pt>
                <c:pt idx="95">
                  <c:v>112.1</c:v>
                </c:pt>
                <c:pt idx="96">
                  <c:v>111.6</c:v>
                </c:pt>
                <c:pt idx="97">
                  <c:v>111.4</c:v>
                </c:pt>
                <c:pt idx="98">
                  <c:v>112</c:v>
                </c:pt>
                <c:pt idx="99">
                  <c:v>111.9</c:v>
                </c:pt>
                <c:pt idx="100">
                  <c:v>110.3</c:v>
                </c:pt>
                <c:pt idx="101">
                  <c:v>110</c:v>
                </c:pt>
                <c:pt idx="102">
                  <c:v>110</c:v>
                </c:pt>
                <c:pt idx="103">
                  <c:v>110</c:v>
                </c:pt>
                <c:pt idx="104">
                  <c:v>110</c:v>
                </c:pt>
                <c:pt idx="105">
                  <c:v>109.5</c:v>
                </c:pt>
                <c:pt idx="106">
                  <c:v>107</c:v>
                </c:pt>
                <c:pt idx="107">
                  <c:v>109</c:v>
                </c:pt>
                <c:pt idx="108">
                  <c:v>107.99</c:v>
                </c:pt>
                <c:pt idx="109">
                  <c:v>110</c:v>
                </c:pt>
                <c:pt idx="110">
                  <c:v>109.05</c:v>
                </c:pt>
                <c:pt idx="111">
                  <c:v>110</c:v>
                </c:pt>
                <c:pt idx="112">
                  <c:v>109</c:v>
                </c:pt>
                <c:pt idx="113">
                  <c:v>109</c:v>
                </c:pt>
                <c:pt idx="114">
                  <c:v>110</c:v>
                </c:pt>
                <c:pt idx="115">
                  <c:v>109.98</c:v>
                </c:pt>
                <c:pt idx="116">
                  <c:v>110.25</c:v>
                </c:pt>
                <c:pt idx="117">
                  <c:v>110.5</c:v>
                </c:pt>
                <c:pt idx="118">
                  <c:v>110</c:v>
                </c:pt>
                <c:pt idx="119">
                  <c:v>110</c:v>
                </c:pt>
                <c:pt idx="120">
                  <c:v>109.5</c:v>
                </c:pt>
                <c:pt idx="121">
                  <c:v>110</c:v>
                </c:pt>
                <c:pt idx="122">
                  <c:v>110</c:v>
                </c:pt>
                <c:pt idx="123">
                  <c:v>110</c:v>
                </c:pt>
                <c:pt idx="124">
                  <c:v>110</c:v>
                </c:pt>
                <c:pt idx="125">
                  <c:v>110</c:v>
                </c:pt>
                <c:pt idx="126">
                  <c:v>110.99</c:v>
                </c:pt>
                <c:pt idx="127">
                  <c:v>112</c:v>
                </c:pt>
                <c:pt idx="128">
                  <c:v>110.3</c:v>
                </c:pt>
                <c:pt idx="129">
                  <c:v>112.99</c:v>
                </c:pt>
                <c:pt idx="130">
                  <c:v>112.89</c:v>
                </c:pt>
                <c:pt idx="131">
                  <c:v>115.88</c:v>
                </c:pt>
                <c:pt idx="132">
                  <c:v>117</c:v>
                </c:pt>
                <c:pt idx="133">
                  <c:v>118.49</c:v>
                </c:pt>
                <c:pt idx="134">
                  <c:v>117</c:v>
                </c:pt>
                <c:pt idx="135">
                  <c:v>118</c:v>
                </c:pt>
                <c:pt idx="136">
                  <c:v>117</c:v>
                </c:pt>
                <c:pt idx="137">
                  <c:v>116</c:v>
                </c:pt>
                <c:pt idx="138">
                  <c:v>116</c:v>
                </c:pt>
                <c:pt idx="139">
                  <c:v>115</c:v>
                </c:pt>
                <c:pt idx="140">
                  <c:v>115</c:v>
                </c:pt>
                <c:pt idx="141">
                  <c:v>114.3</c:v>
                </c:pt>
                <c:pt idx="142">
                  <c:v>112.11</c:v>
                </c:pt>
                <c:pt idx="143">
                  <c:v>114</c:v>
                </c:pt>
                <c:pt idx="144">
                  <c:v>115</c:v>
                </c:pt>
                <c:pt idx="145">
                  <c:v>115.95</c:v>
                </c:pt>
                <c:pt idx="146">
                  <c:v>115.98</c:v>
                </c:pt>
                <c:pt idx="147">
                  <c:v>115.98</c:v>
                </c:pt>
                <c:pt idx="148">
                  <c:v>117</c:v>
                </c:pt>
                <c:pt idx="149">
                  <c:v>116.98</c:v>
                </c:pt>
                <c:pt idx="150">
                  <c:v>116</c:v>
                </c:pt>
                <c:pt idx="151">
                  <c:v>115.89</c:v>
                </c:pt>
                <c:pt idx="152">
                  <c:v>114.5</c:v>
                </c:pt>
                <c:pt idx="153">
                  <c:v>115.5</c:v>
                </c:pt>
                <c:pt idx="154">
                  <c:v>116.49</c:v>
                </c:pt>
                <c:pt idx="155">
                  <c:v>116.48</c:v>
                </c:pt>
                <c:pt idx="156">
                  <c:v>115</c:v>
                </c:pt>
                <c:pt idx="157">
                  <c:v>114.3</c:v>
                </c:pt>
                <c:pt idx="158">
                  <c:v>114.1</c:v>
                </c:pt>
                <c:pt idx="159">
                  <c:v>116</c:v>
                </c:pt>
                <c:pt idx="160">
                  <c:v>116.76</c:v>
                </c:pt>
                <c:pt idx="161">
                  <c:v>116.7</c:v>
                </c:pt>
                <c:pt idx="162">
                  <c:v>118</c:v>
                </c:pt>
                <c:pt idx="163">
                  <c:v>119.8</c:v>
                </c:pt>
                <c:pt idx="164">
                  <c:v>118</c:v>
                </c:pt>
                <c:pt idx="165">
                  <c:v>118</c:v>
                </c:pt>
                <c:pt idx="166">
                  <c:v>118</c:v>
                </c:pt>
                <c:pt idx="167">
                  <c:v>117</c:v>
                </c:pt>
                <c:pt idx="168">
                  <c:v>116.03</c:v>
                </c:pt>
                <c:pt idx="169">
                  <c:v>115</c:v>
                </c:pt>
                <c:pt idx="170">
                  <c:v>114</c:v>
                </c:pt>
                <c:pt idx="171">
                  <c:v>114.5</c:v>
                </c:pt>
                <c:pt idx="172">
                  <c:v>114.1</c:v>
                </c:pt>
                <c:pt idx="173">
                  <c:v>114.21</c:v>
                </c:pt>
                <c:pt idx="174">
                  <c:v>116</c:v>
                </c:pt>
                <c:pt idx="175">
                  <c:v>114.5</c:v>
                </c:pt>
                <c:pt idx="176">
                  <c:v>115.7</c:v>
                </c:pt>
                <c:pt idx="177">
                  <c:v>116</c:v>
                </c:pt>
                <c:pt idx="178">
                  <c:v>113</c:v>
                </c:pt>
                <c:pt idx="179">
                  <c:v>112</c:v>
                </c:pt>
                <c:pt idx="180">
                  <c:v>114</c:v>
                </c:pt>
                <c:pt idx="181">
                  <c:v>111.1</c:v>
                </c:pt>
                <c:pt idx="182">
                  <c:v>112.02</c:v>
                </c:pt>
                <c:pt idx="183">
                  <c:v>112.02</c:v>
                </c:pt>
                <c:pt idx="184">
                  <c:v>111</c:v>
                </c:pt>
                <c:pt idx="185">
                  <c:v>112</c:v>
                </c:pt>
                <c:pt idx="186">
                  <c:v>110.5</c:v>
                </c:pt>
                <c:pt idx="187">
                  <c:v>110.7</c:v>
                </c:pt>
                <c:pt idx="188">
                  <c:v>110.81</c:v>
                </c:pt>
                <c:pt idx="189">
                  <c:v>110.1</c:v>
                </c:pt>
                <c:pt idx="190">
                  <c:v>110.9</c:v>
                </c:pt>
                <c:pt idx="191">
                  <c:v>110.32</c:v>
                </c:pt>
                <c:pt idx="192">
                  <c:v>110.65</c:v>
                </c:pt>
                <c:pt idx="193">
                  <c:v>110.7</c:v>
                </c:pt>
                <c:pt idx="194">
                  <c:v>111.49</c:v>
                </c:pt>
                <c:pt idx="195">
                  <c:v>111.6</c:v>
                </c:pt>
                <c:pt idx="196">
                  <c:v>112.9</c:v>
                </c:pt>
                <c:pt idx="197">
                  <c:v>110.1</c:v>
                </c:pt>
                <c:pt idx="198">
                  <c:v>110.52</c:v>
                </c:pt>
                <c:pt idx="199">
                  <c:v>110.28</c:v>
                </c:pt>
                <c:pt idx="200">
                  <c:v>110.5</c:v>
                </c:pt>
                <c:pt idx="201">
                  <c:v>113</c:v>
                </c:pt>
                <c:pt idx="202">
                  <c:v>113</c:v>
                </c:pt>
                <c:pt idx="203">
                  <c:v>110.1</c:v>
                </c:pt>
                <c:pt idx="204">
                  <c:v>110.8</c:v>
                </c:pt>
                <c:pt idx="205">
                  <c:v>110</c:v>
                </c:pt>
                <c:pt idx="206">
                  <c:v>110</c:v>
                </c:pt>
                <c:pt idx="207">
                  <c:v>113</c:v>
                </c:pt>
                <c:pt idx="208">
                  <c:v>113</c:v>
                </c:pt>
                <c:pt idx="209">
                  <c:v>113</c:v>
                </c:pt>
                <c:pt idx="210">
                  <c:v>112.5</c:v>
                </c:pt>
                <c:pt idx="211">
                  <c:v>112.02</c:v>
                </c:pt>
                <c:pt idx="212">
                  <c:v>111.99</c:v>
                </c:pt>
                <c:pt idx="213">
                  <c:v>112</c:v>
                </c:pt>
                <c:pt idx="214">
                  <c:v>112.1</c:v>
                </c:pt>
                <c:pt idx="215">
                  <c:v>111</c:v>
                </c:pt>
                <c:pt idx="216">
                  <c:v>111.6</c:v>
                </c:pt>
                <c:pt idx="217">
                  <c:v>111</c:v>
                </c:pt>
                <c:pt idx="218">
                  <c:v>110.71</c:v>
                </c:pt>
                <c:pt idx="219">
                  <c:v>110.69</c:v>
                </c:pt>
                <c:pt idx="220">
                  <c:v>110.01</c:v>
                </c:pt>
                <c:pt idx="221">
                  <c:v>111</c:v>
                </c:pt>
                <c:pt idx="222">
                  <c:v>111</c:v>
                </c:pt>
                <c:pt idx="223">
                  <c:v>110.21</c:v>
                </c:pt>
                <c:pt idx="224">
                  <c:v>110.5</c:v>
                </c:pt>
                <c:pt idx="225">
                  <c:v>111</c:v>
                </c:pt>
                <c:pt idx="226">
                  <c:v>111</c:v>
                </c:pt>
                <c:pt idx="227">
                  <c:v>111</c:v>
                </c:pt>
                <c:pt idx="228">
                  <c:v>111</c:v>
                </c:pt>
                <c:pt idx="229">
                  <c:v>111</c:v>
                </c:pt>
                <c:pt idx="230">
                  <c:v>111.01</c:v>
                </c:pt>
                <c:pt idx="231">
                  <c:v>111.1</c:v>
                </c:pt>
                <c:pt idx="232">
                  <c:v>111.17</c:v>
                </c:pt>
                <c:pt idx="233">
                  <c:v>113</c:v>
                </c:pt>
                <c:pt idx="234">
                  <c:v>111.6</c:v>
                </c:pt>
                <c:pt idx="235">
                  <c:v>112</c:v>
                </c:pt>
                <c:pt idx="236">
                  <c:v>112</c:v>
                </c:pt>
                <c:pt idx="237">
                  <c:v>112.5</c:v>
                </c:pt>
                <c:pt idx="238">
                  <c:v>112.15</c:v>
                </c:pt>
                <c:pt idx="239">
                  <c:v>112.1</c:v>
                </c:pt>
                <c:pt idx="240">
                  <c:v>112.1</c:v>
                </c:pt>
                <c:pt idx="241">
                  <c:v>112.3</c:v>
                </c:pt>
                <c:pt idx="242">
                  <c:v>112.01</c:v>
                </c:pt>
                <c:pt idx="243">
                  <c:v>112.01</c:v>
                </c:pt>
                <c:pt idx="244">
                  <c:v>112.8</c:v>
                </c:pt>
                <c:pt idx="245">
                  <c:v>112.6</c:v>
                </c:pt>
                <c:pt idx="246">
                  <c:v>115</c:v>
                </c:pt>
                <c:pt idx="247">
                  <c:v>115</c:v>
                </c:pt>
                <c:pt idx="248">
                  <c:v>116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8-4AF9-A280-E709652D72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4205440"/>
        <c:axId val="754202160"/>
      </c:scatterChart>
      <c:valAx>
        <c:axId val="75420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4202160"/>
        <c:crosses val="autoZero"/>
        <c:crossBetween val="midCat"/>
      </c:valAx>
      <c:valAx>
        <c:axId val="75420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4205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Feuil2!$C$1</c:f>
              <c:strCache>
                <c:ptCount val="1"/>
                <c:pt idx="0">
                  <c:v>BIAT:rendement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Feuil2!$C$2:$C$250</c:f>
              <c:numCache>
                <c:formatCode>General</c:formatCode>
                <c:ptCount val="249"/>
                <c:pt idx="1">
                  <c:v>4.2590569203835877E-3</c:v>
                </c:pt>
                <c:pt idx="2">
                  <c:v>-1.6891867670218181E-2</c:v>
                </c:pt>
                <c:pt idx="3">
                  <c:v>-8.4259403140717112E-3</c:v>
                </c:pt>
                <c:pt idx="4">
                  <c:v>2.5608208616736505E-3</c:v>
                </c:pt>
                <c:pt idx="5">
                  <c:v>-1.9802627296179643E-2</c:v>
                </c:pt>
                <c:pt idx="6">
                  <c:v>-2.6343975339601863E-2</c:v>
                </c:pt>
                <c:pt idx="7">
                  <c:v>-8.8777877616329874E-3</c:v>
                </c:pt>
                <c:pt idx="8">
                  <c:v>1.7588953959139626E-2</c:v>
                </c:pt>
                <c:pt idx="9">
                  <c:v>-6.1254574767573844E-3</c:v>
                </c:pt>
                <c:pt idx="10">
                  <c:v>4.5264471839816099E-2</c:v>
                </c:pt>
                <c:pt idx="11">
                  <c:v>1.9468821067594119E-2</c:v>
                </c:pt>
                <c:pt idx="12">
                  <c:v>1.8031919508838423E-2</c:v>
                </c:pt>
                <c:pt idx="13">
                  <c:v>-8.1977292335893697E-5</c:v>
                </c:pt>
                <c:pt idx="14">
                  <c:v>-6.5606038108444273E-4</c:v>
                </c:pt>
                <c:pt idx="15">
                  <c:v>-1.2381503612505165E-2</c:v>
                </c:pt>
                <c:pt idx="16">
                  <c:v>5.7145378915542406E-3</c:v>
                </c:pt>
                <c:pt idx="17">
                  <c:v>-1.7410577654745515E-2</c:v>
                </c:pt>
                <c:pt idx="18">
                  <c:v>0</c:v>
                </c:pt>
                <c:pt idx="19">
                  <c:v>8.3682496705165792E-3</c:v>
                </c:pt>
                <c:pt idx="20">
                  <c:v>7.3065751824379944E-3</c:v>
                </c:pt>
                <c:pt idx="21">
                  <c:v>-7.3065751824381393E-3</c:v>
                </c:pt>
                <c:pt idx="22">
                  <c:v>-2.0855064910213707E-3</c:v>
                </c:pt>
                <c:pt idx="23">
                  <c:v>0</c:v>
                </c:pt>
                <c:pt idx="24">
                  <c:v>-1.3874513087707997E-2</c:v>
                </c:pt>
                <c:pt idx="25">
                  <c:v>-9.7852301731284948E-3</c:v>
                </c:pt>
                <c:pt idx="26">
                  <c:v>-8.1563019238234148E-3</c:v>
                </c:pt>
                <c:pt idx="27">
                  <c:v>0</c:v>
                </c:pt>
                <c:pt idx="28">
                  <c:v>-8.6580627431145415E-3</c:v>
                </c:pt>
                <c:pt idx="29">
                  <c:v>-8.7336799687545534E-3</c:v>
                </c:pt>
                <c:pt idx="30">
                  <c:v>8.7336799687546315E-3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-8.7336799687545534E-3</c:v>
                </c:pt>
                <c:pt idx="35">
                  <c:v>8.7336799687546315E-3</c:v>
                </c:pt>
                <c:pt idx="36">
                  <c:v>-1.7544309650909508E-2</c:v>
                </c:pt>
                <c:pt idx="37">
                  <c:v>3.4786116085415604E-2</c:v>
                </c:pt>
                <c:pt idx="38">
                  <c:v>-1.7241806434506103E-2</c:v>
                </c:pt>
                <c:pt idx="39">
                  <c:v>8.6580627431145311E-3</c:v>
                </c:pt>
                <c:pt idx="40">
                  <c:v>3.0126986419361126E-3</c:v>
                </c:pt>
                <c:pt idx="41">
                  <c:v>3.4373120558428338E-4</c:v>
                </c:pt>
                <c:pt idx="42">
                  <c:v>-1.2014492590634921E-2</c:v>
                </c:pt>
                <c:pt idx="43">
                  <c:v>8.5718521305346851E-3</c:v>
                </c:pt>
                <c:pt idx="44">
                  <c:v>-1.8622187984036233E-2</c:v>
                </c:pt>
                <c:pt idx="45">
                  <c:v>-7.493973797407987E-3</c:v>
                </c:pt>
                <c:pt idx="46">
                  <c:v>1.7544309650909525E-2</c:v>
                </c:pt>
                <c:pt idx="47">
                  <c:v>-1.3129291441792736E-2</c:v>
                </c:pt>
                <c:pt idx="48">
                  <c:v>-4.4150182091168312E-3</c:v>
                </c:pt>
                <c:pt idx="49">
                  <c:v>-6.2139569679431489E-3</c:v>
                </c:pt>
                <c:pt idx="50">
                  <c:v>-5.6791816124460034E-2</c:v>
                </c:pt>
                <c:pt idx="51">
                  <c:v>5.4116825675157097E-2</c:v>
                </c:pt>
                <c:pt idx="52">
                  <c:v>-3.8221212820197741E-2</c:v>
                </c:pt>
                <c:pt idx="53">
                  <c:v>2.9162448688991375E-2</c:v>
                </c:pt>
                <c:pt idx="54">
                  <c:v>-1.3515557907332549E-2</c:v>
                </c:pt>
                <c:pt idx="55">
                  <c:v>3.7023006673362169E-2</c:v>
                </c:pt>
                <c:pt idx="56">
                  <c:v>5.0201437417991435E-2</c:v>
                </c:pt>
                <c:pt idx="57">
                  <c:v>3.5090686855594336E-3</c:v>
                </c:pt>
                <c:pt idx="58">
                  <c:v>-3.42537617180613E-3</c:v>
                </c:pt>
                <c:pt idx="59">
                  <c:v>-4.1091927501331347E-3</c:v>
                </c:pt>
                <c:pt idx="60">
                  <c:v>-1.7548027959302239E-2</c:v>
                </c:pt>
                <c:pt idx="61">
                  <c:v>-7.9852740458624949E-3</c:v>
                </c:pt>
                <c:pt idx="62">
                  <c:v>8.583743691391435E-3</c:v>
                </c:pt>
                <c:pt idx="63">
                  <c:v>-8.5837436913914419E-3</c:v>
                </c:pt>
                <c:pt idx="64">
                  <c:v>0</c:v>
                </c:pt>
                <c:pt idx="65">
                  <c:v>2.1322769468821244E-2</c:v>
                </c:pt>
                <c:pt idx="66">
                  <c:v>-2.9980832211935784E-2</c:v>
                </c:pt>
                <c:pt idx="67">
                  <c:v>-8.6994350853999633E-4</c:v>
                </c:pt>
                <c:pt idx="68">
                  <c:v>8.6994350854003536E-4</c:v>
                </c:pt>
                <c:pt idx="69">
                  <c:v>2.3206885902980923E-2</c:v>
                </c:pt>
                <c:pt idx="70">
                  <c:v>-2.3380814071086185E-2</c:v>
                </c:pt>
                <c:pt idx="71">
                  <c:v>1.7392816810527097E-4</c:v>
                </c:pt>
                <c:pt idx="72">
                  <c:v>1.3817145553141903E-2</c:v>
                </c:pt>
                <c:pt idx="73">
                  <c:v>2.5695945616307143E-3</c:v>
                </c:pt>
                <c:pt idx="74">
                  <c:v>-4.2780749315580953E-4</c:v>
                </c:pt>
                <c:pt idx="75">
                  <c:v>-2.4692612590371411E-2</c:v>
                </c:pt>
                <c:pt idx="76">
                  <c:v>8.6467196660780111E-3</c:v>
                </c:pt>
                <c:pt idx="77">
                  <c:v>-8.3835963913062809E-3</c:v>
                </c:pt>
                <c:pt idx="78">
                  <c:v>-7.0181597757381655E-4</c:v>
                </c:pt>
                <c:pt idx="79">
                  <c:v>0</c:v>
                </c:pt>
                <c:pt idx="80">
                  <c:v>1.7830435414671282E-2</c:v>
                </c:pt>
                <c:pt idx="81">
                  <c:v>-1.7216319502928925E-2</c:v>
                </c:pt>
                <c:pt idx="82">
                  <c:v>8.5582567598143176E-3</c:v>
                </c:pt>
                <c:pt idx="83">
                  <c:v>2.0569596527180732E-2</c:v>
                </c:pt>
                <c:pt idx="84">
                  <c:v>-1.6231194928582552E-2</c:v>
                </c:pt>
                <c:pt idx="85">
                  <c:v>4.3196611445163796E-3</c:v>
                </c:pt>
                <c:pt idx="86">
                  <c:v>1.3783874756580551E-2</c:v>
                </c:pt>
                <c:pt idx="87">
                  <c:v>1.9700923422758389E-2</c:v>
                </c:pt>
                <c:pt idx="88">
                  <c:v>-1.3428653325710719E-2</c:v>
                </c:pt>
                <c:pt idx="89">
                  <c:v>-2.4375805998144616E-2</c:v>
                </c:pt>
                <c:pt idx="90">
                  <c:v>-8.695706967553932E-3</c:v>
                </c:pt>
                <c:pt idx="91">
                  <c:v>-1.3187004281953801E-2</c:v>
                </c:pt>
                <c:pt idx="92">
                  <c:v>0</c:v>
                </c:pt>
                <c:pt idx="93">
                  <c:v>-1.7714796483821156E-3</c:v>
                </c:pt>
                <c:pt idx="94">
                  <c:v>0</c:v>
                </c:pt>
                <c:pt idx="95">
                  <c:v>-6.2250089858443191E-3</c:v>
                </c:pt>
                <c:pt idx="96">
                  <c:v>-4.4702801309036335E-3</c:v>
                </c:pt>
                <c:pt idx="97">
                  <c:v>-1.7937224540267663E-3</c:v>
                </c:pt>
                <c:pt idx="98">
                  <c:v>5.3715438019108488E-3</c:v>
                </c:pt>
                <c:pt idx="99">
                  <c:v>-8.9325597721499092E-4</c:v>
                </c:pt>
                <c:pt idx="100">
                  <c:v>-1.4401689058422809E-2</c:v>
                </c:pt>
                <c:pt idx="101">
                  <c:v>-2.7235604670404925E-3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-4.5558165358606907E-3</c:v>
                </c:pt>
                <c:pt idx="106">
                  <c:v>-2.3095714794649395E-2</c:v>
                </c:pt>
                <c:pt idx="107">
                  <c:v>1.8519047767237531E-2</c:v>
                </c:pt>
                <c:pt idx="108">
                  <c:v>-9.3092519844754067E-3</c:v>
                </c:pt>
                <c:pt idx="109">
                  <c:v>1.8441735547747803E-2</c:v>
                </c:pt>
                <c:pt idx="110">
                  <c:v>-8.6738731447781915E-3</c:v>
                </c:pt>
                <c:pt idx="111">
                  <c:v>8.6738731447782783E-3</c:v>
                </c:pt>
                <c:pt idx="112">
                  <c:v>-9.1324835632724741E-3</c:v>
                </c:pt>
                <c:pt idx="113">
                  <c:v>0</c:v>
                </c:pt>
                <c:pt idx="114">
                  <c:v>9.1324835632724723E-3</c:v>
                </c:pt>
                <c:pt idx="115">
                  <c:v>-1.8183471274757111E-4</c:v>
                </c:pt>
                <c:pt idx="116">
                  <c:v>2.4519832472866244E-3</c:v>
                </c:pt>
                <c:pt idx="117">
                  <c:v>2.2650066308520615E-3</c:v>
                </c:pt>
                <c:pt idx="118">
                  <c:v>-4.5351551653912622E-3</c:v>
                </c:pt>
                <c:pt idx="119">
                  <c:v>0</c:v>
                </c:pt>
                <c:pt idx="120">
                  <c:v>-4.5558165358606907E-3</c:v>
                </c:pt>
                <c:pt idx="121">
                  <c:v>4.5558165358606613E-3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8.9597413714718015E-3</c:v>
                </c:pt>
                <c:pt idx="127">
                  <c:v>9.058764131206409E-3</c:v>
                </c:pt>
                <c:pt idx="128">
                  <c:v>-1.5294945035637815E-2</c:v>
                </c:pt>
                <c:pt idx="129">
                  <c:v>2.4095392961698086E-2</c:v>
                </c:pt>
                <c:pt idx="130">
                  <c:v>-8.8542594769925687E-4</c:v>
                </c:pt>
                <c:pt idx="131">
                  <c:v>2.6141279627693938E-2</c:v>
                </c:pt>
                <c:pt idx="132">
                  <c:v>9.6187618966064349E-3</c:v>
                </c:pt>
                <c:pt idx="133">
                  <c:v>1.2654634030892521E-2</c:v>
                </c:pt>
                <c:pt idx="134">
                  <c:v>-1.2654634030892424E-2</c:v>
                </c:pt>
                <c:pt idx="135">
                  <c:v>8.5106896679086105E-3</c:v>
                </c:pt>
                <c:pt idx="136">
                  <c:v>-8.5106896679086191E-3</c:v>
                </c:pt>
                <c:pt idx="137">
                  <c:v>-8.5837436913914419E-3</c:v>
                </c:pt>
                <c:pt idx="138">
                  <c:v>0</c:v>
                </c:pt>
                <c:pt idx="139">
                  <c:v>-8.6580627431145415E-3</c:v>
                </c:pt>
                <c:pt idx="140">
                  <c:v>0</c:v>
                </c:pt>
                <c:pt idx="141">
                  <c:v>-6.1055575624851472E-3</c:v>
                </c:pt>
                <c:pt idx="142">
                  <c:v>-1.9346038635262703E-2</c:v>
                </c:pt>
                <c:pt idx="143">
                  <c:v>1.671791622899315E-2</c:v>
                </c:pt>
                <c:pt idx="144">
                  <c:v>8.7336799687546315E-3</c:v>
                </c:pt>
                <c:pt idx="145">
                  <c:v>8.2269353382905253E-3</c:v>
                </c:pt>
                <c:pt idx="146">
                  <c:v>2.5869874675378524E-4</c:v>
                </c:pt>
                <c:pt idx="147">
                  <c:v>0</c:v>
                </c:pt>
                <c:pt idx="148">
                  <c:v>8.7561723494615426E-3</c:v>
                </c:pt>
                <c:pt idx="149">
                  <c:v>-1.7095478287632588E-4</c:v>
                </c:pt>
                <c:pt idx="150">
                  <c:v>-8.4127889085151685E-3</c:v>
                </c:pt>
                <c:pt idx="151">
                  <c:v>-9.4872576006496624E-4</c:v>
                </c:pt>
                <c:pt idx="152">
                  <c:v>-1.2066642352005255E-2</c:v>
                </c:pt>
                <c:pt idx="153">
                  <c:v>8.695706967553913E-3</c:v>
                </c:pt>
                <c:pt idx="154">
                  <c:v>8.5349024498372859E-3</c:v>
                </c:pt>
                <c:pt idx="155">
                  <c:v>-8.5847963309753546E-5</c:v>
                </c:pt>
                <c:pt idx="156">
                  <c:v>-1.278745608512584E-2</c:v>
                </c:pt>
                <c:pt idx="157">
                  <c:v>-6.1055575624851472E-3</c:v>
                </c:pt>
                <c:pt idx="158">
                  <c:v>-1.751313932735063E-3</c:v>
                </c:pt>
                <c:pt idx="159">
                  <c:v>1.6514934238334722E-2</c:v>
                </c:pt>
                <c:pt idx="160">
                  <c:v>6.5303548795494709E-3</c:v>
                </c:pt>
                <c:pt idx="161">
                  <c:v>-5.1400669340373277E-4</c:v>
                </c:pt>
                <c:pt idx="162">
                  <c:v>1.1078085173154386E-2</c:v>
                </c:pt>
                <c:pt idx="163">
                  <c:v>1.5139061215684087E-2</c:v>
                </c:pt>
                <c:pt idx="164">
                  <c:v>-1.5139061215684153E-2</c:v>
                </c:pt>
                <c:pt idx="165">
                  <c:v>0</c:v>
                </c:pt>
                <c:pt idx="166">
                  <c:v>0</c:v>
                </c:pt>
                <c:pt idx="167">
                  <c:v>-8.5106896679086191E-3</c:v>
                </c:pt>
                <c:pt idx="168">
                  <c:v>-8.3251564383020737E-3</c:v>
                </c:pt>
                <c:pt idx="169">
                  <c:v>-8.9166499962039653E-3</c:v>
                </c:pt>
                <c:pt idx="170">
                  <c:v>-8.7336799687545534E-3</c:v>
                </c:pt>
                <c:pt idx="171">
                  <c:v>4.3763745997987815E-3</c:v>
                </c:pt>
                <c:pt idx="172">
                  <c:v>-3.4995661262644368E-3</c:v>
                </c:pt>
                <c:pt idx="173">
                  <c:v>9.6360219448577843E-4</c:v>
                </c:pt>
                <c:pt idx="174">
                  <c:v>1.5551332043849005E-2</c:v>
                </c:pt>
                <c:pt idx="175">
                  <c:v>-1.3015368112070361E-2</c:v>
                </c:pt>
                <c:pt idx="176">
                  <c:v>1.0425811205336488E-2</c:v>
                </c:pt>
                <c:pt idx="177">
                  <c:v>2.5895569067336767E-3</c:v>
                </c:pt>
                <c:pt idx="178">
                  <c:v>-2.6202372394024072E-2</c:v>
                </c:pt>
                <c:pt idx="179">
                  <c:v>-8.8889474172460393E-3</c:v>
                </c:pt>
                <c:pt idx="180">
                  <c:v>1.7699577099400857E-2</c:v>
                </c:pt>
                <c:pt idx="181">
                  <c:v>-2.576775174891123E-2</c:v>
                </c:pt>
                <c:pt idx="182">
                  <c:v>8.2467301361020436E-3</c:v>
                </c:pt>
                <c:pt idx="183">
                  <c:v>0</c:v>
                </c:pt>
                <c:pt idx="184">
                  <c:v>-9.1472254693520955E-3</c:v>
                </c:pt>
                <c:pt idx="185">
                  <c:v>8.9686699827603161E-3</c:v>
                </c:pt>
                <c:pt idx="186">
                  <c:v>-1.3483350337286988E-2</c:v>
                </c:pt>
                <c:pt idx="187">
                  <c:v>1.8083187567836808E-3</c:v>
                </c:pt>
                <c:pt idx="188">
                  <c:v>9.9318323364282657E-4</c:v>
                </c:pt>
                <c:pt idx="189">
                  <c:v>-6.4279792195998629E-3</c:v>
                </c:pt>
                <c:pt idx="190">
                  <c:v>7.2398506276871782E-3</c:v>
                </c:pt>
                <c:pt idx="191">
                  <c:v>-5.2436608712750701E-3</c:v>
                </c:pt>
                <c:pt idx="192">
                  <c:v>2.9868330120124934E-3</c:v>
                </c:pt>
                <c:pt idx="193">
                  <c:v>4.517732175325538E-4</c:v>
                </c:pt>
                <c:pt idx="194">
                  <c:v>7.1110610648889164E-3</c:v>
                </c:pt>
                <c:pt idx="195">
                  <c:v>9.8614916773041828E-4</c:v>
                </c:pt>
                <c:pt idx="196">
                  <c:v>1.1581421208405905E-2</c:v>
                </c:pt>
                <c:pt idx="197">
                  <c:v>-2.5113427426982169E-2</c:v>
                </c:pt>
                <c:pt idx="198">
                  <c:v>3.8074563265814536E-3</c:v>
                </c:pt>
                <c:pt idx="199">
                  <c:v>-2.1739138996197966E-3</c:v>
                </c:pt>
                <c:pt idx="200">
                  <c:v>1.9929348022115429E-3</c:v>
                </c:pt>
                <c:pt idx="201">
                  <c:v>2.2372297754532984E-2</c:v>
                </c:pt>
                <c:pt idx="202">
                  <c:v>0</c:v>
                </c:pt>
                <c:pt idx="203">
                  <c:v>-2.5998774983706355E-2</c:v>
                </c:pt>
                <c:pt idx="204">
                  <c:v>6.3377305845491389E-3</c:v>
                </c:pt>
                <c:pt idx="205">
                  <c:v>-7.2464085207671978E-3</c:v>
                </c:pt>
                <c:pt idx="206">
                  <c:v>0</c:v>
                </c:pt>
                <c:pt idx="207">
                  <c:v>2.6907452919924402E-2</c:v>
                </c:pt>
                <c:pt idx="208">
                  <c:v>0</c:v>
                </c:pt>
                <c:pt idx="209">
                  <c:v>0</c:v>
                </c:pt>
                <c:pt idx="210">
                  <c:v>-4.4345970678657531E-3</c:v>
                </c:pt>
                <c:pt idx="211">
                  <c:v>-4.2757948627886611E-3</c:v>
                </c:pt>
                <c:pt idx="212">
                  <c:v>-2.6784518708408814E-4</c:v>
                </c:pt>
                <c:pt idx="213">
                  <c:v>8.9289700492375848E-5</c:v>
                </c:pt>
                <c:pt idx="214">
                  <c:v>8.924587830195697E-4</c:v>
                </c:pt>
                <c:pt idx="215">
                  <c:v>-9.8611287657800698E-3</c:v>
                </c:pt>
                <c:pt idx="216">
                  <c:v>5.390848634876373E-3</c:v>
                </c:pt>
                <c:pt idx="217">
                  <c:v>-5.3908486348764233E-3</c:v>
                </c:pt>
                <c:pt idx="218">
                  <c:v>-2.6160314409587834E-3</c:v>
                </c:pt>
                <c:pt idx="219">
                  <c:v>-1.8066847384276761E-4</c:v>
                </c:pt>
                <c:pt idx="220">
                  <c:v>-6.1622306461882412E-3</c:v>
                </c:pt>
                <c:pt idx="221">
                  <c:v>8.9589305609897966E-3</c:v>
                </c:pt>
                <c:pt idx="222">
                  <c:v>0</c:v>
                </c:pt>
                <c:pt idx="223">
                  <c:v>-7.1425646088835986E-3</c:v>
                </c:pt>
                <c:pt idx="224">
                  <c:v>2.6278842543569752E-3</c:v>
                </c:pt>
                <c:pt idx="225">
                  <c:v>4.514680354526613E-3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9.0086032221747952E-5</c:v>
                </c:pt>
                <c:pt idx="231">
                  <c:v>8.1040930102833908E-4</c:v>
                </c:pt>
                <c:pt idx="232">
                  <c:v>6.2986459993942881E-4</c:v>
                </c:pt>
                <c:pt idx="233">
                  <c:v>1.6327257466817017E-2</c:v>
                </c:pt>
                <c:pt idx="234">
                  <c:v>-1.2466768765130047E-2</c:v>
                </c:pt>
                <c:pt idx="235">
                  <c:v>3.5778213478841235E-3</c:v>
                </c:pt>
                <c:pt idx="236">
                  <c:v>0</c:v>
                </c:pt>
                <c:pt idx="237">
                  <c:v>4.4543503493803746E-3</c:v>
                </c:pt>
                <c:pt idx="238">
                  <c:v>-3.1159606782574516E-3</c:v>
                </c:pt>
                <c:pt idx="239">
                  <c:v>-4.4593088810323162E-4</c:v>
                </c:pt>
                <c:pt idx="240">
                  <c:v>0</c:v>
                </c:pt>
                <c:pt idx="241">
                  <c:v>1.7825316662833468E-3</c:v>
                </c:pt>
                <c:pt idx="242">
                  <c:v>-2.5857087207493291E-3</c:v>
                </c:pt>
                <c:pt idx="243">
                  <c:v>0</c:v>
                </c:pt>
                <c:pt idx="244">
                  <c:v>7.028186040310247E-3</c:v>
                </c:pt>
                <c:pt idx="245">
                  <c:v>-1.7746233583684897E-3</c:v>
                </c:pt>
                <c:pt idx="246">
                  <c:v>2.1090412657660075E-2</c:v>
                </c:pt>
                <c:pt idx="247">
                  <c:v>0</c:v>
                </c:pt>
                <c:pt idx="248">
                  <c:v>8.6580627431145311E-3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5-45E3-9CCD-F5EA36438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644592"/>
        <c:axId val="801645576"/>
      </c:scatterChart>
      <c:valAx>
        <c:axId val="80164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1645576"/>
        <c:crosses val="autoZero"/>
        <c:crossBetween val="midCat"/>
      </c:valAx>
      <c:valAx>
        <c:axId val="801645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164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17</xdr:row>
          <xdr:rowOff>30480</xdr:rowOff>
        </xdr:from>
        <xdr:to>
          <xdr:col>9</xdr:col>
          <xdr:colOff>99060</xdr:colOff>
          <xdr:row>19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dbl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arbre sous_jacent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388620</xdr:colOff>
          <xdr:row>16</xdr:row>
          <xdr:rowOff>160020</xdr:rowOff>
        </xdr:from>
        <xdr:to>
          <xdr:col>13</xdr:col>
          <xdr:colOff>15240</xdr:colOff>
          <xdr:row>19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400" b="0" i="0" u="dbl" strike="noStrike" baseline="0">
                  <a:solidFill>
                    <a:srgbClr val="9933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502440</xdr:colOff>
      <xdr:row>8</xdr:row>
      <xdr:rowOff>98640</xdr:rowOff>
    </xdr:from>
    <xdr:to>
      <xdr:col>2</xdr:col>
      <xdr:colOff>502800</xdr:colOff>
      <xdr:row>8</xdr:row>
      <xdr:rowOff>99000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Enc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3672360" y="2110320"/>
            <a:ext cx="360" cy="360"/>
          </xdr14:xfrm>
        </xdr:contentPart>
      </mc:Choice>
      <mc:Fallback xmlns="">
        <xdr:pic>
          <xdr:nvPicPr>
            <xdr:cNvPr id="4" name="Encre 3">
              <a:extLst>
                <a:ext uri="{FF2B5EF4-FFF2-40B4-BE49-F238E27FC236}">
                  <a16:creationId xmlns:a16="http://schemas.microsoft.com/office/drawing/2014/main" id="{0C5FA43F-2F78-4D61-BAD3-6CCF36029DF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663360" y="210132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</xdr:colOff>
          <xdr:row>14</xdr:row>
          <xdr:rowOff>76200</xdr:rowOff>
        </xdr:from>
        <xdr:to>
          <xdr:col>4</xdr:col>
          <xdr:colOff>708660</xdr:colOff>
          <xdr:row>16</xdr:row>
          <xdr:rowOff>106680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1600" b="0" i="0" u="dbl" strike="noStrike" baseline="0">
                  <a:solidFill>
                    <a:srgbClr val="666699"/>
                  </a:solidFill>
                  <a:latin typeface="Calibri"/>
                  <a:cs typeface="Calibri"/>
                </a:rPr>
                <a:t>European_Call_Binomial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17</xdr:row>
          <xdr:rowOff>121920</xdr:rowOff>
        </xdr:from>
        <xdr:to>
          <xdr:col>4</xdr:col>
          <xdr:colOff>708660</xdr:colOff>
          <xdr:row>20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sng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Black_Scholes_Call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21</xdr:row>
          <xdr:rowOff>0</xdr:rowOff>
        </xdr:from>
        <xdr:to>
          <xdr:col>4</xdr:col>
          <xdr:colOff>723900</xdr:colOff>
          <xdr:row>23</xdr:row>
          <xdr:rowOff>60960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fr-FR" sz="1800" b="0" i="0" u="dbl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Black_Scholes_put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24</xdr:row>
          <xdr:rowOff>60960</xdr:rowOff>
        </xdr:from>
        <xdr:to>
          <xdr:col>4</xdr:col>
          <xdr:colOff>762000</xdr:colOff>
          <xdr:row>26</xdr:row>
          <xdr:rowOff>99060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fr-FR" sz="2400" b="0" i="0" u="dbl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call/put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777240</xdr:colOff>
          <xdr:row>21</xdr:row>
          <xdr:rowOff>91440</xdr:rowOff>
        </xdr:from>
        <xdr:to>
          <xdr:col>14</xdr:col>
          <xdr:colOff>198120</xdr:colOff>
          <xdr:row>24</xdr:row>
          <xdr:rowOff>167640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0" i="0" u="dbl" strike="noStrike" baseline="0">
                  <a:solidFill>
                    <a:srgbClr val="993366"/>
                  </a:solidFill>
                  <a:latin typeface="Calibri"/>
                  <a:cs typeface="Calibri"/>
                </a:rPr>
                <a:t>enfin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594360</xdr:colOff>
          <xdr:row>22</xdr:row>
          <xdr:rowOff>129540</xdr:rowOff>
        </xdr:from>
        <xdr:to>
          <xdr:col>9</xdr:col>
          <xdr:colOff>678180</xdr:colOff>
          <xdr:row>26</xdr:row>
          <xdr:rowOff>22860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fr-FR" sz="2800" b="1" i="0" u="dbl" strike="noStrike" baseline="30000">
                  <a:solidFill>
                    <a:srgbClr val="33CCCC"/>
                  </a:solidFill>
                  <a:latin typeface="Calibri"/>
                  <a:cs typeface="Calibri"/>
                </a:rPr>
                <a:t>call or 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83820</xdr:colOff>
      <xdr:row>1</xdr:row>
      <xdr:rowOff>7620</xdr:rowOff>
    </xdr:from>
    <xdr:to>
      <xdr:col>13</xdr:col>
      <xdr:colOff>693420</xdr:colOff>
      <xdr:row>16</xdr:row>
      <xdr:rowOff>7620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769620</xdr:colOff>
      <xdr:row>12</xdr:row>
      <xdr:rowOff>167640</xdr:rowOff>
    </xdr:from>
    <xdr:to>
      <xdr:col>19</xdr:col>
      <xdr:colOff>586740</xdr:colOff>
      <xdr:row>27</xdr:row>
      <xdr:rowOff>167640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17T06:11:38.104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</inkml:trace>
  <inkml:trace contextRef="#ctx0" brushRef="#br0" timeOffset="1">1 1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729DD-E912-4DAD-A921-B763BF7E0502}">
  <sheetPr codeName="Feuil1"/>
  <dimension ref="A1:P24"/>
  <sheetViews>
    <sheetView tabSelected="1" workbookViewId="0">
      <selection activeCell="C10" sqref="C10"/>
    </sheetView>
  </sheetViews>
  <sheetFormatPr baseColWidth="10" defaultRowHeight="14.4" x14ac:dyDescent="0.3"/>
  <cols>
    <col min="2" max="2" width="25.88671875" customWidth="1"/>
  </cols>
  <sheetData>
    <row r="1" spans="1:16" ht="15" thickBot="1" x14ac:dyDescent="0.35"/>
    <row r="2" spans="1:16" ht="15.6" thickTop="1" thickBot="1" x14ac:dyDescent="0.35">
      <c r="B2" s="2" t="s">
        <v>0</v>
      </c>
      <c r="C2" s="2">
        <v>100</v>
      </c>
      <c r="E2" s="14"/>
      <c r="F2" s="15"/>
      <c r="G2" s="15"/>
      <c r="H2" s="15"/>
      <c r="I2" s="15"/>
      <c r="J2" s="15"/>
      <c r="K2" s="15"/>
      <c r="L2" s="15"/>
      <c r="M2" s="15"/>
      <c r="N2" s="15"/>
      <c r="O2" s="15"/>
      <c r="P2" s="16"/>
    </row>
    <row r="3" spans="1:16" ht="15.6" thickTop="1" thickBot="1" x14ac:dyDescent="0.35">
      <c r="B3" s="2" t="s">
        <v>1</v>
      </c>
      <c r="C3" s="2">
        <v>110</v>
      </c>
      <c r="E3" s="17"/>
      <c r="F3" s="18"/>
      <c r="G3" s="18"/>
      <c r="H3" s="18"/>
      <c r="I3" s="18"/>
      <c r="J3" s="18"/>
      <c r="K3" s="18"/>
      <c r="L3" s="18"/>
      <c r="M3" s="18"/>
      <c r="N3" s="18"/>
      <c r="O3" s="18"/>
      <c r="P3" s="19"/>
    </row>
    <row r="4" spans="1:16" ht="15.6" thickTop="1" thickBot="1" x14ac:dyDescent="0.35">
      <c r="B4" s="2" t="s">
        <v>2</v>
      </c>
      <c r="C4" s="3">
        <v>6.6000000000000003E-2</v>
      </c>
      <c r="E4" s="17"/>
      <c r="F4" s="18"/>
      <c r="G4" s="18"/>
      <c r="H4" s="18"/>
      <c r="I4" s="18"/>
      <c r="J4" s="18"/>
      <c r="K4" s="18"/>
      <c r="L4" s="18"/>
      <c r="M4" s="18"/>
      <c r="N4" s="18"/>
      <c r="O4" s="18"/>
      <c r="P4" s="19"/>
    </row>
    <row r="5" spans="1:16" ht="15.6" thickTop="1" thickBot="1" x14ac:dyDescent="0.35">
      <c r="B5" s="2" t="s">
        <v>3</v>
      </c>
      <c r="C5" s="3">
        <v>4.3200000000000002E-2</v>
      </c>
      <c r="E5" s="17"/>
      <c r="F5" s="18"/>
      <c r="G5" s="18"/>
      <c r="H5" s="18"/>
      <c r="I5" s="18"/>
      <c r="J5" s="18"/>
      <c r="K5" s="18"/>
      <c r="L5" s="18"/>
      <c r="M5" s="18"/>
      <c r="N5" s="18"/>
      <c r="O5" s="18"/>
      <c r="P5" s="19"/>
    </row>
    <row r="6" spans="1:16" ht="15.6" thickTop="1" thickBot="1" x14ac:dyDescent="0.35">
      <c r="B6" s="2" t="s">
        <v>4</v>
      </c>
      <c r="C6" s="2">
        <v>1</v>
      </c>
      <c r="E6" s="17"/>
      <c r="F6" s="18"/>
      <c r="G6" s="18"/>
      <c r="H6" s="18"/>
      <c r="I6" s="18"/>
      <c r="J6" s="18"/>
      <c r="K6" s="18"/>
      <c r="L6" s="18"/>
      <c r="M6" s="18"/>
      <c r="N6" s="18"/>
      <c r="O6" s="18"/>
      <c r="P6" s="19"/>
    </row>
    <row r="7" spans="1:16" ht="15.6" thickTop="1" thickBot="1" x14ac:dyDescent="0.35">
      <c r="B7" s="2" t="s">
        <v>5</v>
      </c>
      <c r="C7" s="4">
        <v>0.2</v>
      </c>
      <c r="E7" s="17"/>
      <c r="F7" s="18"/>
      <c r="G7" s="18"/>
      <c r="H7" s="18"/>
      <c r="I7" s="18"/>
      <c r="J7" s="18"/>
      <c r="K7" s="18"/>
      <c r="L7" s="18"/>
      <c r="M7" s="18"/>
      <c r="N7" s="18"/>
      <c r="O7" s="18"/>
      <c r="P7" s="19"/>
    </row>
    <row r="8" spans="1:16" ht="15.6" thickTop="1" thickBot="1" x14ac:dyDescent="0.35">
      <c r="B8" s="2" t="s">
        <v>6</v>
      </c>
      <c r="C8" s="2">
        <v>5</v>
      </c>
      <c r="E8" s="17"/>
      <c r="F8" s="18"/>
      <c r="G8" s="18"/>
      <c r="H8" s="18"/>
      <c r="I8" s="18"/>
      <c r="J8" s="18"/>
      <c r="K8" s="18"/>
      <c r="L8" s="18"/>
      <c r="M8" s="18"/>
      <c r="N8" s="18"/>
      <c r="O8" s="18"/>
      <c r="P8" s="19"/>
    </row>
    <row r="9" spans="1:16" ht="15.6" thickTop="1" thickBot="1" x14ac:dyDescent="0.35">
      <c r="B9" s="2" t="s">
        <v>7</v>
      </c>
      <c r="C9" s="5" t="s">
        <v>15</v>
      </c>
      <c r="E9" s="17"/>
      <c r="F9" s="18"/>
      <c r="G9" s="18"/>
      <c r="H9" s="18"/>
      <c r="I9" s="18"/>
      <c r="J9" s="18"/>
      <c r="K9" s="18"/>
      <c r="L9" s="18"/>
      <c r="M9" s="18"/>
      <c r="N9" s="18"/>
      <c r="O9" s="18"/>
      <c r="P9" s="19"/>
    </row>
    <row r="10" spans="1:16" ht="15.6" thickTop="1" thickBot="1" x14ac:dyDescent="0.35">
      <c r="B10" s="2" t="s">
        <v>8</v>
      </c>
      <c r="C10" s="6" t="s">
        <v>14</v>
      </c>
      <c r="E10" s="17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9"/>
    </row>
    <row r="11" spans="1:16" ht="15.6" thickTop="1" thickBot="1" x14ac:dyDescent="0.35">
      <c r="B11" s="2" t="s">
        <v>13</v>
      </c>
      <c r="C11" s="2"/>
      <c r="E11" s="17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9"/>
    </row>
    <row r="12" spans="1:16" ht="15.6" thickTop="1" thickBot="1" x14ac:dyDescent="0.35">
      <c r="A12" s="7"/>
      <c r="B12" s="7"/>
      <c r="E12" s="17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9"/>
    </row>
    <row r="13" spans="1:16" ht="15" thickBot="1" x14ac:dyDescent="0.35">
      <c r="A13" s="8" t="str">
        <f>CHAR(67)</f>
        <v>C</v>
      </c>
      <c r="B13" s="9" t="s">
        <v>9</v>
      </c>
      <c r="E13" s="17"/>
      <c r="F13" s="18"/>
      <c r="G13" s="18"/>
      <c r="H13" s="18"/>
      <c r="I13" s="18"/>
      <c r="J13" s="18"/>
      <c r="K13" s="23"/>
      <c r="L13" s="18"/>
      <c r="M13" s="18"/>
      <c r="N13" s="18"/>
      <c r="O13" s="18"/>
      <c r="P13" s="19"/>
    </row>
    <row r="14" spans="1:16" ht="15" thickBot="1" x14ac:dyDescent="0.35">
      <c r="A14" s="10" t="str">
        <f>CHAR(80)</f>
        <v>P</v>
      </c>
      <c r="B14" s="11" t="s">
        <v>10</v>
      </c>
      <c r="E14" s="22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1"/>
    </row>
    <row r="15" spans="1:16" ht="15" thickBot="1" x14ac:dyDescent="0.35">
      <c r="A15" s="8" t="str">
        <f>CHAR(69)</f>
        <v>E</v>
      </c>
      <c r="B15" s="9" t="s">
        <v>11</v>
      </c>
    </row>
    <row r="16" spans="1:16" ht="15" thickBot="1" x14ac:dyDescent="0.35">
      <c r="A16" s="12" t="str">
        <f>CHAR(65)</f>
        <v>A</v>
      </c>
      <c r="B16" s="13" t="s">
        <v>12</v>
      </c>
    </row>
    <row r="17" spans="2:5" x14ac:dyDescent="0.3">
      <c r="E17" s="1"/>
    </row>
    <row r="24" spans="2:5" x14ac:dyDescent="0.3">
      <c r="B24" s="24"/>
    </row>
  </sheetData>
  <conditionalFormatting sqref="B9:C11">
    <cfRule type="duplicateValues" dxfId="0" priority="1"/>
  </conditionalFormatting>
  <dataValidations count="2">
    <dataValidation type="list" allowBlank="1" showInputMessage="1" showErrorMessage="1" sqref="C10" xr:uid="{125436F3-82F3-4C20-95CF-45632C717FCB}">
      <formula1>$A$15:$A$16</formula1>
    </dataValidation>
    <dataValidation type="list" allowBlank="1" showInputMessage="1" showErrorMessage="1" sqref="C9" xr:uid="{4D929B94-E50B-42AF-B741-A7A7657E9D08}">
      <formula1>$A$13:$A$14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breBinomial">
                <anchor moveWithCells="1" sizeWithCells="1">
                  <from>
                    <xdr:col>5</xdr:col>
                    <xdr:colOff>601980</xdr:colOff>
                    <xdr:row>17</xdr:row>
                    <xdr:rowOff>30480</xdr:rowOff>
                  </from>
                  <to>
                    <xdr:col>9</xdr:col>
                    <xdr:colOff>99060</xdr:colOff>
                    <xdr:row>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outon3_Cliquer">
                <anchor moveWithCells="1" sizeWithCells="1">
                  <from>
                    <xdr:col>10</xdr:col>
                    <xdr:colOff>388620</xdr:colOff>
                    <xdr:row>16</xdr:row>
                    <xdr:rowOff>160020</xdr:rowOff>
                  </from>
                  <to>
                    <xdr:col>13</xdr:col>
                    <xdr:colOff>15240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outon5_Cliquer">
                <anchor moveWithCells="1" sizeWithCells="1">
                  <from>
                    <xdr:col>2</xdr:col>
                    <xdr:colOff>106680</xdr:colOff>
                    <xdr:row>14</xdr:row>
                    <xdr:rowOff>76200</xdr:rowOff>
                  </from>
                  <to>
                    <xdr:col>4</xdr:col>
                    <xdr:colOff>708660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outon6_Cliquer">
                <anchor moveWithCells="1" sizeWithCells="1">
                  <from>
                    <xdr:col>2</xdr:col>
                    <xdr:colOff>99060</xdr:colOff>
                    <xdr:row>17</xdr:row>
                    <xdr:rowOff>121920</xdr:rowOff>
                  </from>
                  <to>
                    <xdr:col>4</xdr:col>
                    <xdr:colOff>708660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Bouton8_Cliquer">
                <anchor moveWithCells="1" sizeWithCells="1">
                  <from>
                    <xdr:col>2</xdr:col>
                    <xdr:colOff>99060</xdr:colOff>
                    <xdr:row>21</xdr:row>
                    <xdr:rowOff>0</xdr:rowOff>
                  </from>
                  <to>
                    <xdr:col>4</xdr:col>
                    <xdr:colOff>723900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outon9_Cliquer">
                <anchor moveWithCells="1" sizeWithCells="1">
                  <from>
                    <xdr:col>2</xdr:col>
                    <xdr:colOff>114300</xdr:colOff>
                    <xdr:row>24</xdr:row>
                    <xdr:rowOff>60960</xdr:rowOff>
                  </from>
                  <to>
                    <xdr:col>4</xdr:col>
                    <xdr:colOff>762000</xdr:colOff>
                    <xdr:row>26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outon15_Cliquer">
                <anchor moveWithCells="1" sizeWithCells="1">
                  <from>
                    <xdr:col>10</xdr:col>
                    <xdr:colOff>777240</xdr:colOff>
                    <xdr:row>21</xdr:row>
                    <xdr:rowOff>91440</xdr:rowOff>
                  </from>
                  <to>
                    <xdr:col>14</xdr:col>
                    <xdr:colOff>198120</xdr:colOff>
                    <xdr:row>24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optionPricing">
                <anchor moveWithCells="1" sizeWithCells="1">
                  <from>
                    <xdr:col>6</xdr:col>
                    <xdr:colOff>594360</xdr:colOff>
                    <xdr:row>22</xdr:row>
                    <xdr:rowOff>129540</xdr:rowOff>
                  </from>
                  <to>
                    <xdr:col>9</xdr:col>
                    <xdr:colOff>678180</xdr:colOff>
                    <xdr:row>26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505FC-49B1-4066-9C56-B5CD95D618FD}">
  <sheetPr codeName="Feuil2"/>
  <dimension ref="A1:H250"/>
  <sheetViews>
    <sheetView workbookViewId="0">
      <selection activeCell="M23" sqref="M23"/>
    </sheetView>
  </sheetViews>
  <sheetFormatPr baseColWidth="10" defaultRowHeight="14.4" x14ac:dyDescent="0.3"/>
  <cols>
    <col min="3" max="3" width="14.21875" customWidth="1"/>
  </cols>
  <sheetData>
    <row r="1" spans="1:8" x14ac:dyDescent="0.3">
      <c r="A1" s="25" t="s">
        <v>16</v>
      </c>
      <c r="B1" s="25" t="s">
        <v>17</v>
      </c>
      <c r="C1" s="25" t="s">
        <v>20</v>
      </c>
    </row>
    <row r="2" spans="1:8" x14ac:dyDescent="0.3">
      <c r="A2" s="28">
        <v>43467</v>
      </c>
      <c r="B2" s="25">
        <v>119.49</v>
      </c>
      <c r="C2" s="25"/>
    </row>
    <row r="3" spans="1:8" x14ac:dyDescent="0.3">
      <c r="A3" s="28">
        <v>43468</v>
      </c>
      <c r="B3" s="25">
        <v>120</v>
      </c>
      <c r="C3" s="25">
        <v>4.2590569203835877E-3</v>
      </c>
    </row>
    <row r="4" spans="1:8" x14ac:dyDescent="0.3">
      <c r="A4" s="28">
        <v>43469</v>
      </c>
      <c r="B4" s="25">
        <v>117.99</v>
      </c>
      <c r="C4" s="25">
        <v>-1.6891867670218181E-2</v>
      </c>
    </row>
    <row r="5" spans="1:8" x14ac:dyDescent="0.3">
      <c r="A5" s="28">
        <v>43472</v>
      </c>
      <c r="B5" s="25">
        <v>117</v>
      </c>
      <c r="C5" s="25">
        <v>-8.4259403140717112E-3</v>
      </c>
    </row>
    <row r="6" spans="1:8" x14ac:dyDescent="0.3">
      <c r="A6" s="28">
        <v>43473</v>
      </c>
      <c r="B6" s="25">
        <v>117.3</v>
      </c>
      <c r="C6" s="25">
        <v>2.5608208616736505E-3</v>
      </c>
    </row>
    <row r="7" spans="1:8" x14ac:dyDescent="0.3">
      <c r="A7" s="28">
        <v>43474</v>
      </c>
      <c r="B7" s="25">
        <v>115</v>
      </c>
      <c r="C7" s="25">
        <v>-1.9802627296179643E-2</v>
      </c>
    </row>
    <row r="8" spans="1:8" x14ac:dyDescent="0.3">
      <c r="A8" s="28">
        <v>43475</v>
      </c>
      <c r="B8" s="25">
        <v>112.01</v>
      </c>
      <c r="C8" s="25">
        <v>-2.6343975339601863E-2</v>
      </c>
    </row>
    <row r="9" spans="1:8" x14ac:dyDescent="0.3">
      <c r="A9" s="28">
        <v>43476</v>
      </c>
      <c r="B9" s="25">
        <v>111.02</v>
      </c>
      <c r="C9" s="25">
        <v>-8.8777877616329874E-3</v>
      </c>
    </row>
    <row r="10" spans="1:8" x14ac:dyDescent="0.3">
      <c r="A10" s="28">
        <v>43480</v>
      </c>
      <c r="B10" s="25">
        <v>112.99</v>
      </c>
      <c r="C10" s="25">
        <v>1.7588953959139626E-2</v>
      </c>
    </row>
    <row r="11" spans="1:8" x14ac:dyDescent="0.3">
      <c r="A11" s="28">
        <v>43481</v>
      </c>
      <c r="B11" s="25">
        <v>112.3</v>
      </c>
      <c r="C11" s="25">
        <v>-6.1254574767573844E-3</v>
      </c>
      <c r="G11" s="25" t="s">
        <v>18</v>
      </c>
      <c r="H11" s="26">
        <f>_xlfn.STDEV.P(C:C)*SQRT(H14)</f>
        <v>0.20727077685658732</v>
      </c>
    </row>
    <row r="12" spans="1:8" x14ac:dyDescent="0.3">
      <c r="A12" s="28">
        <v>43482</v>
      </c>
      <c r="B12" s="25">
        <v>117.5</v>
      </c>
      <c r="C12" s="25">
        <v>4.5264471839816099E-2</v>
      </c>
      <c r="G12" s="25"/>
      <c r="H12" s="27"/>
    </row>
    <row r="13" spans="1:8" x14ac:dyDescent="0.3">
      <c r="A13" s="28">
        <v>43483</v>
      </c>
      <c r="B13" s="25">
        <v>119.81</v>
      </c>
      <c r="C13" s="25">
        <v>1.9468821067594119E-2</v>
      </c>
      <c r="G13" s="25"/>
      <c r="H13" s="25"/>
    </row>
    <row r="14" spans="1:8" x14ac:dyDescent="0.3">
      <c r="A14" s="28">
        <v>43486</v>
      </c>
      <c r="B14" s="25">
        <v>121.99</v>
      </c>
      <c r="C14" s="25">
        <v>1.8031919508838423E-2</v>
      </c>
      <c r="G14" s="25" t="s">
        <v>19</v>
      </c>
      <c r="H14" s="25">
        <f>COUNT(B:B)</f>
        <v>249</v>
      </c>
    </row>
    <row r="15" spans="1:8" x14ac:dyDescent="0.3">
      <c r="A15" s="28">
        <v>43487</v>
      </c>
      <c r="B15" s="25">
        <v>121.98</v>
      </c>
      <c r="C15" s="25">
        <v>-8.1977292335893697E-5</v>
      </c>
    </row>
    <row r="16" spans="1:8" x14ac:dyDescent="0.3">
      <c r="A16" s="28">
        <v>43488</v>
      </c>
      <c r="B16" s="25">
        <v>121.9</v>
      </c>
      <c r="C16" s="25">
        <v>-6.5606038108444273E-4</v>
      </c>
    </row>
    <row r="17" spans="1:3" x14ac:dyDescent="0.3">
      <c r="A17" s="28">
        <v>43489</v>
      </c>
      <c r="B17" s="25">
        <v>120.4</v>
      </c>
      <c r="C17" s="25">
        <v>-1.2381503612505165E-2</v>
      </c>
    </row>
    <row r="18" spans="1:3" x14ac:dyDescent="0.3">
      <c r="A18" s="28">
        <v>43490</v>
      </c>
      <c r="B18" s="25">
        <v>121.09</v>
      </c>
      <c r="C18" s="25">
        <v>5.7145378915542406E-3</v>
      </c>
    </row>
    <row r="19" spans="1:3" x14ac:dyDescent="0.3">
      <c r="A19" s="28">
        <v>43493</v>
      </c>
      <c r="B19" s="25">
        <v>119</v>
      </c>
      <c r="C19" s="25">
        <v>-1.7410577654745515E-2</v>
      </c>
    </row>
    <row r="20" spans="1:3" x14ac:dyDescent="0.3">
      <c r="A20" s="28">
        <v>43494</v>
      </c>
      <c r="B20" s="25">
        <v>119</v>
      </c>
      <c r="C20" s="25">
        <v>0</v>
      </c>
    </row>
    <row r="21" spans="1:3" x14ac:dyDescent="0.3">
      <c r="A21" s="28">
        <v>43495</v>
      </c>
      <c r="B21" s="25">
        <v>120</v>
      </c>
      <c r="C21" s="25">
        <v>8.3682496705165792E-3</v>
      </c>
    </row>
    <row r="22" spans="1:3" x14ac:dyDescent="0.3">
      <c r="A22" s="28">
        <v>43496</v>
      </c>
      <c r="B22" s="25">
        <v>120.88</v>
      </c>
      <c r="C22" s="25">
        <v>7.3065751824379944E-3</v>
      </c>
    </row>
    <row r="23" spans="1:3" x14ac:dyDescent="0.3">
      <c r="A23" s="28">
        <v>43497</v>
      </c>
      <c r="B23" s="25">
        <v>120</v>
      </c>
      <c r="C23" s="25">
        <v>-7.3065751824381393E-3</v>
      </c>
    </row>
    <row r="24" spans="1:3" x14ac:dyDescent="0.3">
      <c r="A24" s="28">
        <v>43500</v>
      </c>
      <c r="B24" s="25">
        <v>119.75</v>
      </c>
      <c r="C24" s="25">
        <v>-2.0855064910213707E-3</v>
      </c>
    </row>
    <row r="25" spans="1:3" x14ac:dyDescent="0.3">
      <c r="A25" s="28">
        <v>43501</v>
      </c>
      <c r="B25" s="25">
        <v>119.75</v>
      </c>
      <c r="C25" s="25">
        <v>0</v>
      </c>
    </row>
    <row r="26" spans="1:3" x14ac:dyDescent="0.3">
      <c r="A26" s="28">
        <v>43502</v>
      </c>
      <c r="B26" s="25">
        <v>118.1</v>
      </c>
      <c r="C26" s="25">
        <v>-1.3874513087707997E-2</v>
      </c>
    </row>
    <row r="27" spans="1:3" x14ac:dyDescent="0.3">
      <c r="A27" s="28">
        <v>43503</v>
      </c>
      <c r="B27" s="25">
        <v>116.95</v>
      </c>
      <c r="C27" s="25">
        <v>-9.7852301731284948E-3</v>
      </c>
    </row>
    <row r="28" spans="1:3" x14ac:dyDescent="0.3">
      <c r="A28" s="28">
        <v>43504</v>
      </c>
      <c r="B28" s="25">
        <v>116</v>
      </c>
      <c r="C28" s="25">
        <v>-8.1563019238234148E-3</v>
      </c>
    </row>
    <row r="29" spans="1:3" x14ac:dyDescent="0.3">
      <c r="A29" s="28">
        <v>43507</v>
      </c>
      <c r="B29" s="25">
        <v>116</v>
      </c>
      <c r="C29" s="25">
        <v>0</v>
      </c>
    </row>
    <row r="30" spans="1:3" x14ac:dyDescent="0.3">
      <c r="A30" s="28">
        <v>43508</v>
      </c>
      <c r="B30" s="25">
        <v>115</v>
      </c>
      <c r="C30" s="25">
        <v>-8.6580627431145415E-3</v>
      </c>
    </row>
    <row r="31" spans="1:3" x14ac:dyDescent="0.3">
      <c r="A31" s="28">
        <v>43509</v>
      </c>
      <c r="B31" s="25">
        <v>114</v>
      </c>
      <c r="C31" s="25">
        <v>-8.7336799687545534E-3</v>
      </c>
    </row>
    <row r="32" spans="1:3" x14ac:dyDescent="0.3">
      <c r="A32" s="28">
        <v>43510</v>
      </c>
      <c r="B32" s="25">
        <v>115</v>
      </c>
      <c r="C32" s="25">
        <v>8.7336799687546315E-3</v>
      </c>
    </row>
    <row r="33" spans="1:3" x14ac:dyDescent="0.3">
      <c r="A33" s="28">
        <v>43511</v>
      </c>
      <c r="B33" s="25">
        <v>115</v>
      </c>
      <c r="C33" s="25">
        <v>0</v>
      </c>
    </row>
    <row r="34" spans="1:3" x14ac:dyDescent="0.3">
      <c r="A34" s="28">
        <v>43514</v>
      </c>
      <c r="B34" s="25">
        <v>115</v>
      </c>
      <c r="C34" s="25">
        <v>0</v>
      </c>
    </row>
    <row r="35" spans="1:3" x14ac:dyDescent="0.3">
      <c r="A35" s="28">
        <v>43515</v>
      </c>
      <c r="B35" s="25">
        <v>115</v>
      </c>
      <c r="C35" s="25">
        <v>0</v>
      </c>
    </row>
    <row r="36" spans="1:3" x14ac:dyDescent="0.3">
      <c r="A36" s="28">
        <v>43516</v>
      </c>
      <c r="B36" s="25">
        <v>114</v>
      </c>
      <c r="C36" s="25">
        <v>-8.7336799687545534E-3</v>
      </c>
    </row>
    <row r="37" spans="1:3" x14ac:dyDescent="0.3">
      <c r="A37" s="28">
        <v>43517</v>
      </c>
      <c r="B37" s="25">
        <v>115</v>
      </c>
      <c r="C37" s="25">
        <v>8.7336799687546315E-3</v>
      </c>
    </row>
    <row r="38" spans="1:3" x14ac:dyDescent="0.3">
      <c r="A38" s="28">
        <v>43518</v>
      </c>
      <c r="B38" s="25">
        <v>113</v>
      </c>
      <c r="C38" s="25">
        <v>-1.7544309650909508E-2</v>
      </c>
    </row>
    <row r="39" spans="1:3" x14ac:dyDescent="0.3">
      <c r="A39" s="28">
        <v>43521</v>
      </c>
      <c r="B39" s="25">
        <v>117</v>
      </c>
      <c r="C39" s="25">
        <v>3.4786116085415604E-2</v>
      </c>
    </row>
    <row r="40" spans="1:3" x14ac:dyDescent="0.3">
      <c r="A40" s="28">
        <v>43522</v>
      </c>
      <c r="B40" s="25">
        <v>115</v>
      </c>
      <c r="C40" s="25">
        <v>-1.7241806434506103E-2</v>
      </c>
    </row>
    <row r="41" spans="1:3" x14ac:dyDescent="0.3">
      <c r="A41" s="28">
        <v>43523</v>
      </c>
      <c r="B41" s="25">
        <v>116</v>
      </c>
      <c r="C41" s="25">
        <v>8.6580627431145311E-3</v>
      </c>
    </row>
    <row r="42" spans="1:3" x14ac:dyDescent="0.3">
      <c r="A42" s="28">
        <v>43524</v>
      </c>
      <c r="B42" s="25">
        <v>116.35</v>
      </c>
      <c r="C42" s="25">
        <v>3.0126986419361126E-3</v>
      </c>
    </row>
    <row r="43" spans="1:3" x14ac:dyDescent="0.3">
      <c r="A43" s="28">
        <v>43525</v>
      </c>
      <c r="B43" s="25">
        <v>116.39</v>
      </c>
      <c r="C43" s="25">
        <v>3.4373120558428338E-4</v>
      </c>
    </row>
    <row r="44" spans="1:3" x14ac:dyDescent="0.3">
      <c r="A44" s="28">
        <v>43528</v>
      </c>
      <c r="B44" s="25">
        <v>115</v>
      </c>
      <c r="C44" s="25">
        <v>-1.2014492590634921E-2</v>
      </c>
    </row>
    <row r="45" spans="1:3" x14ac:dyDescent="0.3">
      <c r="A45" s="28">
        <v>43529</v>
      </c>
      <c r="B45" s="25">
        <v>115.99</v>
      </c>
      <c r="C45" s="25">
        <v>8.5718521305346851E-3</v>
      </c>
    </row>
    <row r="46" spans="1:3" x14ac:dyDescent="0.3">
      <c r="A46" s="28">
        <v>43530</v>
      </c>
      <c r="B46" s="25">
        <v>113.85</v>
      </c>
      <c r="C46" s="25">
        <v>-1.8622187984036233E-2</v>
      </c>
    </row>
    <row r="47" spans="1:3" x14ac:dyDescent="0.3">
      <c r="A47" s="28">
        <v>43531</v>
      </c>
      <c r="B47" s="25">
        <v>113</v>
      </c>
      <c r="C47" s="25">
        <v>-7.493973797407987E-3</v>
      </c>
    </row>
    <row r="48" spans="1:3" x14ac:dyDescent="0.3">
      <c r="A48" s="28">
        <v>43532</v>
      </c>
      <c r="B48" s="25">
        <v>115</v>
      </c>
      <c r="C48" s="25">
        <v>1.7544309650909525E-2</v>
      </c>
    </row>
    <row r="49" spans="1:3" x14ac:dyDescent="0.3">
      <c r="A49" s="28">
        <v>43535</v>
      </c>
      <c r="B49" s="25">
        <v>113.5</v>
      </c>
      <c r="C49" s="25">
        <v>-1.3129291441792736E-2</v>
      </c>
    </row>
    <row r="50" spans="1:3" x14ac:dyDescent="0.3">
      <c r="A50" s="28">
        <v>43536</v>
      </c>
      <c r="B50" s="25">
        <v>113</v>
      </c>
      <c r="C50" s="25">
        <v>-4.4150182091168312E-3</v>
      </c>
    </row>
    <row r="51" spans="1:3" x14ac:dyDescent="0.3">
      <c r="A51" s="28">
        <v>43537</v>
      </c>
      <c r="B51" s="25">
        <v>112.3</v>
      </c>
      <c r="C51" s="25">
        <v>-6.2139569679431489E-3</v>
      </c>
    </row>
    <row r="52" spans="1:3" x14ac:dyDescent="0.3">
      <c r="A52" s="28">
        <v>43538</v>
      </c>
      <c r="B52" s="25">
        <v>106.1</v>
      </c>
      <c r="C52" s="25">
        <v>-5.6791816124460034E-2</v>
      </c>
    </row>
    <row r="53" spans="1:3" x14ac:dyDescent="0.3">
      <c r="A53" s="28">
        <v>43539</v>
      </c>
      <c r="B53" s="25">
        <v>112</v>
      </c>
      <c r="C53" s="25">
        <v>5.4116825675157097E-2</v>
      </c>
    </row>
    <row r="54" spans="1:3" x14ac:dyDescent="0.3">
      <c r="A54" s="28">
        <v>43542</v>
      </c>
      <c r="B54" s="25">
        <v>107.8</v>
      </c>
      <c r="C54" s="25">
        <v>-3.8221212820197741E-2</v>
      </c>
    </row>
    <row r="55" spans="1:3" x14ac:dyDescent="0.3">
      <c r="A55" s="28">
        <v>43543</v>
      </c>
      <c r="B55" s="25">
        <v>110.99</v>
      </c>
      <c r="C55" s="25">
        <v>2.9162448688991375E-2</v>
      </c>
    </row>
    <row r="56" spans="1:3" x14ac:dyDescent="0.3">
      <c r="A56" s="28">
        <v>43545</v>
      </c>
      <c r="B56" s="25">
        <v>109.5</v>
      </c>
      <c r="C56" s="25">
        <v>-1.3515557907332549E-2</v>
      </c>
    </row>
    <row r="57" spans="1:3" x14ac:dyDescent="0.3">
      <c r="A57" s="28">
        <v>43546</v>
      </c>
      <c r="B57" s="25">
        <v>113.63</v>
      </c>
      <c r="C57" s="25">
        <v>3.7023006673362169E-2</v>
      </c>
    </row>
    <row r="58" spans="1:3" x14ac:dyDescent="0.3">
      <c r="A58" s="28">
        <v>43549</v>
      </c>
      <c r="B58" s="25">
        <v>119.48</v>
      </c>
      <c r="C58" s="25">
        <v>5.0201437417991435E-2</v>
      </c>
    </row>
    <row r="59" spans="1:3" x14ac:dyDescent="0.3">
      <c r="A59" s="28">
        <v>43550</v>
      </c>
      <c r="B59" s="25">
        <v>119.9</v>
      </c>
      <c r="C59" s="25">
        <v>3.5090686855594336E-3</v>
      </c>
    </row>
    <row r="60" spans="1:3" x14ac:dyDescent="0.3">
      <c r="A60" s="28">
        <v>43551</v>
      </c>
      <c r="B60" s="25">
        <v>119.49</v>
      </c>
      <c r="C60" s="25">
        <v>-3.42537617180613E-3</v>
      </c>
    </row>
    <row r="61" spans="1:3" x14ac:dyDescent="0.3">
      <c r="A61" s="28">
        <v>43552</v>
      </c>
      <c r="B61" s="25">
        <v>119</v>
      </c>
      <c r="C61" s="25">
        <v>-4.1091927501331347E-3</v>
      </c>
    </row>
    <row r="62" spans="1:3" x14ac:dyDescent="0.3">
      <c r="A62" s="28">
        <v>43553</v>
      </c>
      <c r="B62" s="25">
        <v>116.93</v>
      </c>
      <c r="C62" s="25">
        <v>-1.7548027959302239E-2</v>
      </c>
    </row>
    <row r="63" spans="1:3" x14ac:dyDescent="0.3">
      <c r="A63" s="28">
        <v>43556</v>
      </c>
      <c r="B63" s="25">
        <v>116</v>
      </c>
      <c r="C63" s="25">
        <v>-7.9852740458624949E-3</v>
      </c>
    </row>
    <row r="64" spans="1:3" x14ac:dyDescent="0.3">
      <c r="A64" s="28">
        <v>43557</v>
      </c>
      <c r="B64" s="25">
        <v>117</v>
      </c>
      <c r="C64" s="25">
        <v>8.583743691391435E-3</v>
      </c>
    </row>
    <row r="65" spans="1:3" x14ac:dyDescent="0.3">
      <c r="A65" s="28">
        <v>43558</v>
      </c>
      <c r="B65" s="25">
        <v>116</v>
      </c>
      <c r="C65" s="25">
        <v>-8.5837436913914419E-3</v>
      </c>
    </row>
    <row r="66" spans="1:3" x14ac:dyDescent="0.3">
      <c r="A66" s="28">
        <v>43559</v>
      </c>
      <c r="B66" s="25">
        <v>116</v>
      </c>
      <c r="C66" s="25">
        <v>0</v>
      </c>
    </row>
    <row r="67" spans="1:3" x14ac:dyDescent="0.3">
      <c r="A67" s="28">
        <v>43560</v>
      </c>
      <c r="B67" s="25">
        <v>118.5</v>
      </c>
      <c r="C67" s="25">
        <v>2.1322769468821244E-2</v>
      </c>
    </row>
    <row r="68" spans="1:3" x14ac:dyDescent="0.3">
      <c r="A68" s="28">
        <v>43563</v>
      </c>
      <c r="B68" s="25">
        <v>115</v>
      </c>
      <c r="C68" s="25">
        <v>-2.9980832211935784E-2</v>
      </c>
    </row>
    <row r="69" spans="1:3" x14ac:dyDescent="0.3">
      <c r="A69" s="28">
        <v>43565</v>
      </c>
      <c r="B69" s="25">
        <v>114.9</v>
      </c>
      <c r="C69" s="25">
        <v>-8.6994350853999633E-4</v>
      </c>
    </row>
    <row r="70" spans="1:3" x14ac:dyDescent="0.3">
      <c r="A70" s="28">
        <v>43566</v>
      </c>
      <c r="B70" s="25">
        <v>115</v>
      </c>
      <c r="C70" s="25">
        <v>8.6994350854003536E-4</v>
      </c>
    </row>
    <row r="71" spans="1:3" x14ac:dyDescent="0.3">
      <c r="A71" s="28">
        <v>43567</v>
      </c>
      <c r="B71" s="25">
        <v>117.7</v>
      </c>
      <c r="C71" s="25">
        <v>2.3206885902980923E-2</v>
      </c>
    </row>
    <row r="72" spans="1:3" x14ac:dyDescent="0.3">
      <c r="A72" s="28">
        <v>43570</v>
      </c>
      <c r="B72" s="25">
        <v>114.98</v>
      </c>
      <c r="C72" s="25">
        <v>-2.3380814071086185E-2</v>
      </c>
    </row>
    <row r="73" spans="1:3" x14ac:dyDescent="0.3">
      <c r="A73" s="28">
        <v>43571</v>
      </c>
      <c r="B73" s="25">
        <v>115</v>
      </c>
      <c r="C73" s="25">
        <v>1.7392816810527097E-4</v>
      </c>
    </row>
    <row r="74" spans="1:3" x14ac:dyDescent="0.3">
      <c r="A74" s="28">
        <v>43572</v>
      </c>
      <c r="B74" s="25">
        <v>116.6</v>
      </c>
      <c r="C74" s="25">
        <v>1.3817145553141903E-2</v>
      </c>
    </row>
    <row r="75" spans="1:3" x14ac:dyDescent="0.3">
      <c r="A75" s="28">
        <v>43573</v>
      </c>
      <c r="B75" s="25">
        <v>116.9</v>
      </c>
      <c r="C75" s="25">
        <v>2.5695945616307143E-3</v>
      </c>
    </row>
    <row r="76" spans="1:3" x14ac:dyDescent="0.3">
      <c r="A76" s="28">
        <v>43574</v>
      </c>
      <c r="B76" s="25">
        <v>116.85</v>
      </c>
      <c r="C76" s="25">
        <v>-4.2780749315580953E-4</v>
      </c>
    </row>
    <row r="77" spans="1:3" x14ac:dyDescent="0.3">
      <c r="A77" s="28">
        <v>43577</v>
      </c>
      <c r="B77" s="25">
        <v>114</v>
      </c>
      <c r="C77" s="25">
        <v>-2.4692612590371411E-2</v>
      </c>
    </row>
    <row r="78" spans="1:3" x14ac:dyDescent="0.3">
      <c r="A78" s="28">
        <v>43578</v>
      </c>
      <c r="B78" s="25">
        <v>114.99</v>
      </c>
      <c r="C78" s="25">
        <v>8.6467196660780111E-3</v>
      </c>
    </row>
    <row r="79" spans="1:3" x14ac:dyDescent="0.3">
      <c r="A79" s="28">
        <v>43579</v>
      </c>
      <c r="B79" s="25">
        <v>114.03</v>
      </c>
      <c r="C79" s="25">
        <v>-8.3835963913062809E-3</v>
      </c>
    </row>
    <row r="80" spans="1:3" x14ac:dyDescent="0.3">
      <c r="A80" s="28">
        <v>43580</v>
      </c>
      <c r="B80" s="25">
        <v>113.95</v>
      </c>
      <c r="C80" s="25">
        <v>-7.0181597757381655E-4</v>
      </c>
    </row>
    <row r="81" spans="1:3" x14ac:dyDescent="0.3">
      <c r="A81" s="28">
        <v>43581</v>
      </c>
      <c r="B81" s="25">
        <v>113.95</v>
      </c>
      <c r="C81" s="25">
        <v>0</v>
      </c>
    </row>
    <row r="82" spans="1:3" x14ac:dyDescent="0.3">
      <c r="A82" s="28">
        <v>43584</v>
      </c>
      <c r="B82" s="25">
        <v>116</v>
      </c>
      <c r="C82" s="25">
        <v>1.7830435414671282E-2</v>
      </c>
    </row>
    <row r="83" spans="1:3" x14ac:dyDescent="0.3">
      <c r="A83" s="28">
        <v>43585</v>
      </c>
      <c r="B83" s="25">
        <v>114.02</v>
      </c>
      <c r="C83" s="25">
        <v>-1.7216319502928925E-2</v>
      </c>
    </row>
    <row r="84" spans="1:3" x14ac:dyDescent="0.3">
      <c r="A84" s="28">
        <v>43587</v>
      </c>
      <c r="B84" s="25">
        <v>115</v>
      </c>
      <c r="C84" s="25">
        <v>8.5582567598143176E-3</v>
      </c>
    </row>
    <row r="85" spans="1:3" x14ac:dyDescent="0.3">
      <c r="A85" s="28">
        <v>43588</v>
      </c>
      <c r="B85" s="25">
        <v>117.39</v>
      </c>
      <c r="C85" s="25">
        <v>2.0569596527180732E-2</v>
      </c>
    </row>
    <row r="86" spans="1:3" x14ac:dyDescent="0.3">
      <c r="A86" s="28">
        <v>43591</v>
      </c>
      <c r="B86" s="25">
        <v>115.5</v>
      </c>
      <c r="C86" s="25">
        <v>-1.6231194928582552E-2</v>
      </c>
    </row>
    <row r="87" spans="1:3" x14ac:dyDescent="0.3">
      <c r="A87" s="28">
        <v>43592</v>
      </c>
      <c r="B87" s="25">
        <v>116</v>
      </c>
      <c r="C87" s="25">
        <v>4.3196611445163796E-3</v>
      </c>
    </row>
    <row r="88" spans="1:3" x14ac:dyDescent="0.3">
      <c r="A88" s="28">
        <v>43593</v>
      </c>
      <c r="B88" s="25">
        <v>117.61</v>
      </c>
      <c r="C88" s="25">
        <v>1.3783874756580551E-2</v>
      </c>
    </row>
    <row r="89" spans="1:3" x14ac:dyDescent="0.3">
      <c r="A89" s="28">
        <v>43594</v>
      </c>
      <c r="B89" s="25">
        <v>119.95</v>
      </c>
      <c r="C89" s="25">
        <v>1.9700923422758389E-2</v>
      </c>
    </row>
    <row r="90" spans="1:3" x14ac:dyDescent="0.3">
      <c r="A90" s="28">
        <v>43595</v>
      </c>
      <c r="B90" s="25">
        <v>118.35</v>
      </c>
      <c r="C90" s="25">
        <v>-1.3428653325710719E-2</v>
      </c>
    </row>
    <row r="91" spans="1:3" x14ac:dyDescent="0.3">
      <c r="A91" s="28">
        <v>43598</v>
      </c>
      <c r="B91" s="25">
        <v>115.5</v>
      </c>
      <c r="C91" s="25">
        <v>-2.4375805998144616E-2</v>
      </c>
    </row>
    <row r="92" spans="1:3" x14ac:dyDescent="0.3">
      <c r="A92" s="28">
        <v>43599</v>
      </c>
      <c r="B92" s="25">
        <v>114.5</v>
      </c>
      <c r="C92" s="25">
        <v>-8.695706967553932E-3</v>
      </c>
    </row>
    <row r="93" spans="1:3" x14ac:dyDescent="0.3">
      <c r="A93" s="28">
        <v>43600</v>
      </c>
      <c r="B93" s="25">
        <v>113</v>
      </c>
      <c r="C93" s="25">
        <v>-1.3187004281953801E-2</v>
      </c>
    </row>
    <row r="94" spans="1:3" x14ac:dyDescent="0.3">
      <c r="A94" s="28">
        <v>43601</v>
      </c>
      <c r="B94" s="25">
        <v>113</v>
      </c>
      <c r="C94" s="25">
        <v>0</v>
      </c>
    </row>
    <row r="95" spans="1:3" x14ac:dyDescent="0.3">
      <c r="A95" s="28">
        <v>43602</v>
      </c>
      <c r="B95" s="25">
        <v>112.8</v>
      </c>
      <c r="C95" s="25">
        <v>-1.7714796483821156E-3</v>
      </c>
    </row>
    <row r="96" spans="1:3" x14ac:dyDescent="0.3">
      <c r="A96" s="28">
        <v>43605</v>
      </c>
      <c r="B96" s="25">
        <v>112.8</v>
      </c>
      <c r="C96" s="25">
        <v>0</v>
      </c>
    </row>
    <row r="97" spans="1:3" x14ac:dyDescent="0.3">
      <c r="A97" s="28">
        <v>43606</v>
      </c>
      <c r="B97" s="25">
        <v>112.1</v>
      </c>
      <c r="C97" s="25">
        <v>-6.2250089858443191E-3</v>
      </c>
    </row>
    <row r="98" spans="1:3" x14ac:dyDescent="0.3">
      <c r="A98" s="28">
        <v>43607</v>
      </c>
      <c r="B98" s="25">
        <v>111.6</v>
      </c>
      <c r="C98" s="25">
        <v>-4.4702801309036335E-3</v>
      </c>
    </row>
    <row r="99" spans="1:3" x14ac:dyDescent="0.3">
      <c r="A99" s="28">
        <v>43608</v>
      </c>
      <c r="B99" s="25">
        <v>111.4</v>
      </c>
      <c r="C99" s="25">
        <v>-1.7937224540267663E-3</v>
      </c>
    </row>
    <row r="100" spans="1:3" x14ac:dyDescent="0.3">
      <c r="A100" s="28">
        <v>43609</v>
      </c>
      <c r="B100" s="25">
        <v>112</v>
      </c>
      <c r="C100" s="25">
        <v>5.3715438019108488E-3</v>
      </c>
    </row>
    <row r="101" spans="1:3" x14ac:dyDescent="0.3">
      <c r="A101" s="28">
        <v>43612</v>
      </c>
      <c r="B101" s="25">
        <v>111.9</v>
      </c>
      <c r="C101" s="25">
        <v>-8.9325597721499092E-4</v>
      </c>
    </row>
    <row r="102" spans="1:3" x14ac:dyDescent="0.3">
      <c r="A102" s="28">
        <v>43613</v>
      </c>
      <c r="B102" s="25">
        <v>110.3</v>
      </c>
      <c r="C102" s="25">
        <v>-1.4401689058422809E-2</v>
      </c>
    </row>
    <row r="103" spans="1:3" x14ac:dyDescent="0.3">
      <c r="A103" s="28">
        <v>43614</v>
      </c>
      <c r="B103" s="25">
        <v>110</v>
      </c>
      <c r="C103" s="25">
        <v>-2.7235604670404925E-3</v>
      </c>
    </row>
    <row r="104" spans="1:3" x14ac:dyDescent="0.3">
      <c r="A104" s="28">
        <v>43615</v>
      </c>
      <c r="B104" s="25">
        <v>110</v>
      </c>
      <c r="C104" s="25">
        <v>0</v>
      </c>
    </row>
    <row r="105" spans="1:3" x14ac:dyDescent="0.3">
      <c r="A105" s="28">
        <v>43616</v>
      </c>
      <c r="B105" s="25">
        <v>110</v>
      </c>
      <c r="C105" s="25">
        <v>0</v>
      </c>
    </row>
    <row r="106" spans="1:3" x14ac:dyDescent="0.3">
      <c r="A106" s="28">
        <v>43619</v>
      </c>
      <c r="B106" s="25">
        <v>110</v>
      </c>
      <c r="C106" s="25">
        <v>0</v>
      </c>
    </row>
    <row r="107" spans="1:3" x14ac:dyDescent="0.3">
      <c r="A107" s="28">
        <v>43623</v>
      </c>
      <c r="B107" s="25">
        <v>109.5</v>
      </c>
      <c r="C107" s="25">
        <v>-4.5558165358606907E-3</v>
      </c>
    </row>
    <row r="108" spans="1:3" x14ac:dyDescent="0.3">
      <c r="A108" s="28">
        <v>43626</v>
      </c>
      <c r="B108" s="25">
        <v>107</v>
      </c>
      <c r="C108" s="25">
        <v>-2.3095714794649395E-2</v>
      </c>
    </row>
    <row r="109" spans="1:3" x14ac:dyDescent="0.3">
      <c r="A109" s="28">
        <v>43627</v>
      </c>
      <c r="B109" s="25">
        <v>109</v>
      </c>
      <c r="C109" s="25">
        <v>1.8519047767237531E-2</v>
      </c>
    </row>
    <row r="110" spans="1:3" x14ac:dyDescent="0.3">
      <c r="A110" s="28">
        <v>43628</v>
      </c>
      <c r="B110" s="25">
        <v>107.99</v>
      </c>
      <c r="C110" s="25">
        <v>-9.3092519844754067E-3</v>
      </c>
    </row>
    <row r="111" spans="1:3" x14ac:dyDescent="0.3">
      <c r="A111" s="28">
        <v>43629</v>
      </c>
      <c r="B111" s="25">
        <v>110</v>
      </c>
      <c r="C111" s="25">
        <v>1.8441735547747803E-2</v>
      </c>
    </row>
    <row r="112" spans="1:3" x14ac:dyDescent="0.3">
      <c r="A112" s="28">
        <v>43630</v>
      </c>
      <c r="B112" s="25">
        <v>109.05</v>
      </c>
      <c r="C112" s="25">
        <v>-8.6738731447781915E-3</v>
      </c>
    </row>
    <row r="113" spans="1:3" x14ac:dyDescent="0.3">
      <c r="A113" s="28">
        <v>43633</v>
      </c>
      <c r="B113" s="25">
        <v>110</v>
      </c>
      <c r="C113" s="25">
        <v>8.6738731447782783E-3</v>
      </c>
    </row>
    <row r="114" spans="1:3" x14ac:dyDescent="0.3">
      <c r="A114" s="28">
        <v>43634</v>
      </c>
      <c r="B114" s="25">
        <v>109</v>
      </c>
      <c r="C114" s="25">
        <v>-9.1324835632724741E-3</v>
      </c>
    </row>
    <row r="115" spans="1:3" x14ac:dyDescent="0.3">
      <c r="A115" s="28">
        <v>43635</v>
      </c>
      <c r="B115" s="25">
        <v>109</v>
      </c>
      <c r="C115" s="25">
        <v>0</v>
      </c>
    </row>
    <row r="116" spans="1:3" x14ac:dyDescent="0.3">
      <c r="A116" s="28">
        <v>43636</v>
      </c>
      <c r="B116" s="25">
        <v>110</v>
      </c>
      <c r="C116" s="25">
        <v>9.1324835632724723E-3</v>
      </c>
    </row>
    <row r="117" spans="1:3" x14ac:dyDescent="0.3">
      <c r="A117" s="28">
        <v>43637</v>
      </c>
      <c r="B117" s="25">
        <v>109.98</v>
      </c>
      <c r="C117" s="25">
        <v>-1.8183471274757111E-4</v>
      </c>
    </row>
    <row r="118" spans="1:3" x14ac:dyDescent="0.3">
      <c r="A118" s="28">
        <v>43640</v>
      </c>
      <c r="B118" s="25">
        <v>110.25</v>
      </c>
      <c r="C118" s="25">
        <v>2.4519832472866244E-3</v>
      </c>
    </row>
    <row r="119" spans="1:3" x14ac:dyDescent="0.3">
      <c r="A119" s="28">
        <v>43641</v>
      </c>
      <c r="B119" s="25">
        <v>110.5</v>
      </c>
      <c r="C119" s="25">
        <v>2.2650066308520615E-3</v>
      </c>
    </row>
    <row r="120" spans="1:3" x14ac:dyDescent="0.3">
      <c r="A120" s="28">
        <v>43642</v>
      </c>
      <c r="B120" s="25">
        <v>110</v>
      </c>
      <c r="C120" s="25">
        <v>-4.5351551653912622E-3</v>
      </c>
    </row>
    <row r="121" spans="1:3" x14ac:dyDescent="0.3">
      <c r="A121" s="28">
        <v>43643</v>
      </c>
      <c r="B121" s="25">
        <v>110</v>
      </c>
      <c r="C121" s="25">
        <v>0</v>
      </c>
    </row>
    <row r="122" spans="1:3" x14ac:dyDescent="0.3">
      <c r="A122" s="28">
        <v>43644</v>
      </c>
      <c r="B122" s="25">
        <v>109.5</v>
      </c>
      <c r="C122" s="25">
        <v>-4.5558165358606907E-3</v>
      </c>
    </row>
    <row r="123" spans="1:3" x14ac:dyDescent="0.3">
      <c r="A123" s="28">
        <v>43647</v>
      </c>
      <c r="B123" s="25">
        <v>110</v>
      </c>
      <c r="C123" s="25">
        <v>4.5558165358606613E-3</v>
      </c>
    </row>
    <row r="124" spans="1:3" x14ac:dyDescent="0.3">
      <c r="A124" s="28">
        <v>43648</v>
      </c>
      <c r="B124" s="25">
        <v>110</v>
      </c>
      <c r="C124" s="25">
        <v>0</v>
      </c>
    </row>
    <row r="125" spans="1:3" x14ac:dyDescent="0.3">
      <c r="A125" s="28">
        <v>43649</v>
      </c>
      <c r="B125" s="25">
        <v>110</v>
      </c>
      <c r="C125" s="25">
        <v>0</v>
      </c>
    </row>
    <row r="126" spans="1:3" x14ac:dyDescent="0.3">
      <c r="A126" s="28">
        <v>43650</v>
      </c>
      <c r="B126" s="25">
        <v>110</v>
      </c>
      <c r="C126" s="25">
        <v>0</v>
      </c>
    </row>
    <row r="127" spans="1:3" x14ac:dyDescent="0.3">
      <c r="A127" s="28">
        <v>43651</v>
      </c>
      <c r="B127" s="25">
        <v>110</v>
      </c>
      <c r="C127" s="25">
        <v>0</v>
      </c>
    </row>
    <row r="128" spans="1:3" x14ac:dyDescent="0.3">
      <c r="A128" s="28">
        <v>43654</v>
      </c>
      <c r="B128" s="25">
        <v>110.99</v>
      </c>
      <c r="C128" s="25">
        <v>8.9597413714718015E-3</v>
      </c>
    </row>
    <row r="129" spans="1:3" x14ac:dyDescent="0.3">
      <c r="A129" s="28">
        <v>43655</v>
      </c>
      <c r="B129" s="25">
        <v>112</v>
      </c>
      <c r="C129" s="25">
        <v>9.058764131206409E-3</v>
      </c>
    </row>
    <row r="130" spans="1:3" x14ac:dyDescent="0.3">
      <c r="A130" s="28">
        <v>43656</v>
      </c>
      <c r="B130" s="25">
        <v>110.3</v>
      </c>
      <c r="C130" s="25">
        <v>-1.5294945035637815E-2</v>
      </c>
    </row>
    <row r="131" spans="1:3" x14ac:dyDescent="0.3">
      <c r="A131" s="28">
        <v>43657</v>
      </c>
      <c r="B131" s="25">
        <v>112.99</v>
      </c>
      <c r="C131" s="25">
        <v>2.4095392961698086E-2</v>
      </c>
    </row>
    <row r="132" spans="1:3" x14ac:dyDescent="0.3">
      <c r="A132" s="28">
        <v>43658</v>
      </c>
      <c r="B132" s="25">
        <v>112.89</v>
      </c>
      <c r="C132" s="25">
        <v>-8.8542594769925687E-4</v>
      </c>
    </row>
    <row r="133" spans="1:3" x14ac:dyDescent="0.3">
      <c r="A133" s="28">
        <v>43661</v>
      </c>
      <c r="B133" s="25">
        <v>115.88</v>
      </c>
      <c r="C133" s="25">
        <v>2.6141279627693938E-2</v>
      </c>
    </row>
    <row r="134" spans="1:3" x14ac:dyDescent="0.3">
      <c r="A134" s="28">
        <v>43662</v>
      </c>
      <c r="B134" s="25">
        <v>117</v>
      </c>
      <c r="C134" s="25">
        <v>9.6187618966064349E-3</v>
      </c>
    </row>
    <row r="135" spans="1:3" x14ac:dyDescent="0.3">
      <c r="A135" s="28">
        <v>43663</v>
      </c>
      <c r="B135" s="25">
        <v>118.49</v>
      </c>
      <c r="C135" s="25">
        <v>1.2654634030892521E-2</v>
      </c>
    </row>
    <row r="136" spans="1:3" x14ac:dyDescent="0.3">
      <c r="A136" s="28">
        <v>43664</v>
      </c>
      <c r="B136" s="25">
        <v>117</v>
      </c>
      <c r="C136" s="25">
        <v>-1.2654634030892424E-2</v>
      </c>
    </row>
    <row r="137" spans="1:3" x14ac:dyDescent="0.3">
      <c r="A137" s="28">
        <v>43665</v>
      </c>
      <c r="B137" s="25">
        <v>118</v>
      </c>
      <c r="C137" s="25">
        <v>8.5106896679086105E-3</v>
      </c>
    </row>
    <row r="138" spans="1:3" x14ac:dyDescent="0.3">
      <c r="A138" s="28">
        <v>43668</v>
      </c>
      <c r="B138" s="25">
        <v>117</v>
      </c>
      <c r="C138" s="25">
        <v>-8.5106896679086191E-3</v>
      </c>
    </row>
    <row r="139" spans="1:3" x14ac:dyDescent="0.3">
      <c r="A139" s="28">
        <v>43669</v>
      </c>
      <c r="B139" s="25">
        <v>116</v>
      </c>
      <c r="C139" s="25">
        <v>-8.5837436913914419E-3</v>
      </c>
    </row>
    <row r="140" spans="1:3" x14ac:dyDescent="0.3">
      <c r="A140" s="28">
        <v>43670</v>
      </c>
      <c r="B140" s="25">
        <v>116</v>
      </c>
      <c r="C140" s="25">
        <v>0</v>
      </c>
    </row>
    <row r="141" spans="1:3" x14ac:dyDescent="0.3">
      <c r="A141" s="28">
        <v>43672</v>
      </c>
      <c r="B141" s="25">
        <v>115</v>
      </c>
      <c r="C141" s="25">
        <v>-8.6580627431145415E-3</v>
      </c>
    </row>
    <row r="142" spans="1:3" x14ac:dyDescent="0.3">
      <c r="A142" s="28">
        <v>43675</v>
      </c>
      <c r="B142" s="25">
        <v>115</v>
      </c>
      <c r="C142" s="25">
        <v>0</v>
      </c>
    </row>
    <row r="143" spans="1:3" x14ac:dyDescent="0.3">
      <c r="A143" s="28">
        <v>43676</v>
      </c>
      <c r="B143" s="25">
        <v>114.3</v>
      </c>
      <c r="C143" s="25">
        <v>-6.1055575624851472E-3</v>
      </c>
    </row>
    <row r="144" spans="1:3" x14ac:dyDescent="0.3">
      <c r="A144" s="28">
        <v>43677</v>
      </c>
      <c r="B144" s="25">
        <v>112.11</v>
      </c>
      <c r="C144" s="25">
        <v>-1.9346038635262703E-2</v>
      </c>
    </row>
    <row r="145" spans="1:3" x14ac:dyDescent="0.3">
      <c r="A145" s="28">
        <v>43678</v>
      </c>
      <c r="B145" s="25">
        <v>114</v>
      </c>
      <c r="C145" s="25">
        <v>1.671791622899315E-2</v>
      </c>
    </row>
    <row r="146" spans="1:3" x14ac:dyDescent="0.3">
      <c r="A146" s="28">
        <v>43679</v>
      </c>
      <c r="B146" s="25">
        <v>115</v>
      </c>
      <c r="C146" s="25">
        <v>8.7336799687546315E-3</v>
      </c>
    </row>
    <row r="147" spans="1:3" x14ac:dyDescent="0.3">
      <c r="A147" s="28">
        <v>43682</v>
      </c>
      <c r="B147" s="25">
        <v>115.95</v>
      </c>
      <c r="C147" s="25">
        <v>8.2269353382905253E-3</v>
      </c>
    </row>
    <row r="148" spans="1:3" x14ac:dyDescent="0.3">
      <c r="A148" s="28">
        <v>43683</v>
      </c>
      <c r="B148" s="25">
        <v>115.98</v>
      </c>
      <c r="C148" s="25">
        <v>2.5869874675378524E-4</v>
      </c>
    </row>
    <row r="149" spans="1:3" x14ac:dyDescent="0.3">
      <c r="A149" s="28">
        <v>43684</v>
      </c>
      <c r="B149" s="25">
        <v>115.98</v>
      </c>
      <c r="C149" s="25">
        <v>0</v>
      </c>
    </row>
    <row r="150" spans="1:3" x14ac:dyDescent="0.3">
      <c r="A150" s="28">
        <v>43685</v>
      </c>
      <c r="B150" s="25">
        <v>117</v>
      </c>
      <c r="C150" s="25">
        <v>8.7561723494615426E-3</v>
      </c>
    </row>
    <row r="151" spans="1:3" x14ac:dyDescent="0.3">
      <c r="A151" s="28">
        <v>43686</v>
      </c>
      <c r="B151" s="25">
        <v>116.98</v>
      </c>
      <c r="C151" s="25">
        <v>-1.7095478287632588E-4</v>
      </c>
    </row>
    <row r="152" spans="1:3" x14ac:dyDescent="0.3">
      <c r="A152" s="28">
        <v>43691</v>
      </c>
      <c r="B152" s="25">
        <v>116</v>
      </c>
      <c r="C152" s="25">
        <v>-8.4127889085151685E-3</v>
      </c>
    </row>
    <row r="153" spans="1:3" x14ac:dyDescent="0.3">
      <c r="A153" s="28">
        <v>43692</v>
      </c>
      <c r="B153" s="25">
        <v>115.89</v>
      </c>
      <c r="C153" s="25">
        <v>-9.4872576006496624E-4</v>
      </c>
    </row>
    <row r="154" spans="1:3" x14ac:dyDescent="0.3">
      <c r="A154" s="28">
        <v>43693</v>
      </c>
      <c r="B154" s="25">
        <v>114.5</v>
      </c>
      <c r="C154" s="25">
        <v>-1.2066642352005255E-2</v>
      </c>
    </row>
    <row r="155" spans="1:3" x14ac:dyDescent="0.3">
      <c r="A155" s="28">
        <v>43696</v>
      </c>
      <c r="B155" s="25">
        <v>115.5</v>
      </c>
      <c r="C155" s="25">
        <v>8.695706967553913E-3</v>
      </c>
    </row>
    <row r="156" spans="1:3" x14ac:dyDescent="0.3">
      <c r="A156" s="28">
        <v>43697</v>
      </c>
      <c r="B156" s="25">
        <v>116.49</v>
      </c>
      <c r="C156" s="25">
        <v>8.5349024498372859E-3</v>
      </c>
    </row>
    <row r="157" spans="1:3" x14ac:dyDescent="0.3">
      <c r="A157" s="28">
        <v>43698</v>
      </c>
      <c r="B157" s="25">
        <v>116.48</v>
      </c>
      <c r="C157" s="25">
        <v>-8.5847963309753546E-5</v>
      </c>
    </row>
    <row r="158" spans="1:3" x14ac:dyDescent="0.3">
      <c r="A158" s="28">
        <v>43699</v>
      </c>
      <c r="B158" s="25">
        <v>115</v>
      </c>
      <c r="C158" s="25">
        <v>-1.278745608512584E-2</v>
      </c>
    </row>
    <row r="159" spans="1:3" x14ac:dyDescent="0.3">
      <c r="A159" s="28">
        <v>43700</v>
      </c>
      <c r="B159" s="25">
        <v>114.3</v>
      </c>
      <c r="C159" s="25">
        <v>-6.1055575624851472E-3</v>
      </c>
    </row>
    <row r="160" spans="1:3" x14ac:dyDescent="0.3">
      <c r="A160" s="28">
        <v>43703</v>
      </c>
      <c r="B160" s="25">
        <v>114.1</v>
      </c>
      <c r="C160" s="25">
        <v>-1.751313932735063E-3</v>
      </c>
    </row>
    <row r="161" spans="1:3" x14ac:dyDescent="0.3">
      <c r="A161" s="28">
        <v>43704</v>
      </c>
      <c r="B161" s="25">
        <v>116</v>
      </c>
      <c r="C161" s="25">
        <v>1.6514934238334722E-2</v>
      </c>
    </row>
    <row r="162" spans="1:3" x14ac:dyDescent="0.3">
      <c r="A162" s="28">
        <v>43705</v>
      </c>
      <c r="B162" s="25">
        <v>116.76</v>
      </c>
      <c r="C162" s="25">
        <v>6.5303548795494709E-3</v>
      </c>
    </row>
    <row r="163" spans="1:3" x14ac:dyDescent="0.3">
      <c r="A163" s="28">
        <v>43706</v>
      </c>
      <c r="B163" s="25">
        <v>116.7</v>
      </c>
      <c r="C163" s="25">
        <v>-5.1400669340373277E-4</v>
      </c>
    </row>
    <row r="164" spans="1:3" x14ac:dyDescent="0.3">
      <c r="A164" s="28">
        <v>43707</v>
      </c>
      <c r="B164" s="25">
        <v>118</v>
      </c>
      <c r="C164" s="25">
        <v>1.1078085173154386E-2</v>
      </c>
    </row>
    <row r="165" spans="1:3" x14ac:dyDescent="0.3">
      <c r="A165" s="28">
        <v>43710</v>
      </c>
      <c r="B165" s="25">
        <v>119.8</v>
      </c>
      <c r="C165" s="25">
        <v>1.5139061215684087E-2</v>
      </c>
    </row>
    <row r="166" spans="1:3" x14ac:dyDescent="0.3">
      <c r="A166" s="28">
        <v>43711</v>
      </c>
      <c r="B166" s="25">
        <v>118</v>
      </c>
      <c r="C166" s="25">
        <v>-1.5139061215684153E-2</v>
      </c>
    </row>
    <row r="167" spans="1:3" x14ac:dyDescent="0.3">
      <c r="A167" s="28">
        <v>43712</v>
      </c>
      <c r="B167" s="25">
        <v>118</v>
      </c>
      <c r="C167" s="25">
        <v>0</v>
      </c>
    </row>
    <row r="168" spans="1:3" x14ac:dyDescent="0.3">
      <c r="A168" s="28">
        <v>43713</v>
      </c>
      <c r="B168" s="25">
        <v>118</v>
      </c>
      <c r="C168" s="25">
        <v>0</v>
      </c>
    </row>
    <row r="169" spans="1:3" x14ac:dyDescent="0.3">
      <c r="A169" s="28">
        <v>43714</v>
      </c>
      <c r="B169" s="25">
        <v>117</v>
      </c>
      <c r="C169" s="25">
        <v>-8.5106896679086191E-3</v>
      </c>
    </row>
    <row r="170" spans="1:3" x14ac:dyDescent="0.3">
      <c r="A170" s="28">
        <v>43717</v>
      </c>
      <c r="B170" s="25">
        <v>116.03</v>
      </c>
      <c r="C170" s="25">
        <v>-8.3251564383020737E-3</v>
      </c>
    </row>
    <row r="171" spans="1:3" x14ac:dyDescent="0.3">
      <c r="A171" s="28">
        <v>43718</v>
      </c>
      <c r="B171" s="25">
        <v>115</v>
      </c>
      <c r="C171" s="25">
        <v>-8.9166499962039653E-3</v>
      </c>
    </row>
    <row r="172" spans="1:3" x14ac:dyDescent="0.3">
      <c r="A172" s="28">
        <v>43719</v>
      </c>
      <c r="B172" s="25">
        <v>114</v>
      </c>
      <c r="C172" s="25">
        <v>-8.7336799687545534E-3</v>
      </c>
    </row>
    <row r="173" spans="1:3" x14ac:dyDescent="0.3">
      <c r="A173" s="28">
        <v>43720</v>
      </c>
      <c r="B173" s="25">
        <v>114.5</v>
      </c>
      <c r="C173" s="25">
        <v>4.3763745997987815E-3</v>
      </c>
    </row>
    <row r="174" spans="1:3" x14ac:dyDescent="0.3">
      <c r="A174" s="28">
        <v>43721</v>
      </c>
      <c r="B174" s="25">
        <v>114.1</v>
      </c>
      <c r="C174" s="25">
        <v>-3.4995661262644368E-3</v>
      </c>
    </row>
    <row r="175" spans="1:3" x14ac:dyDescent="0.3">
      <c r="A175" s="28">
        <v>43724</v>
      </c>
      <c r="B175" s="25">
        <v>114.21</v>
      </c>
      <c r="C175" s="25">
        <v>9.6360219448577843E-4</v>
      </c>
    </row>
    <row r="176" spans="1:3" x14ac:dyDescent="0.3">
      <c r="A176" s="28">
        <v>43725</v>
      </c>
      <c r="B176" s="25">
        <v>116</v>
      </c>
      <c r="C176" s="25">
        <v>1.5551332043849005E-2</v>
      </c>
    </row>
    <row r="177" spans="1:3" x14ac:dyDescent="0.3">
      <c r="A177" s="28">
        <v>43726</v>
      </c>
      <c r="B177" s="25">
        <v>114.5</v>
      </c>
      <c r="C177" s="25">
        <v>-1.3015368112070361E-2</v>
      </c>
    </row>
    <row r="178" spans="1:3" x14ac:dyDescent="0.3">
      <c r="A178" s="28">
        <v>43727</v>
      </c>
      <c r="B178" s="25">
        <v>115.7</v>
      </c>
      <c r="C178" s="25">
        <v>1.0425811205336488E-2</v>
      </c>
    </row>
    <row r="179" spans="1:3" x14ac:dyDescent="0.3">
      <c r="A179" s="28">
        <v>43728</v>
      </c>
      <c r="B179" s="25">
        <v>116</v>
      </c>
      <c r="C179" s="25">
        <v>2.5895569067336767E-3</v>
      </c>
    </row>
    <row r="180" spans="1:3" x14ac:dyDescent="0.3">
      <c r="A180" s="28">
        <v>43731</v>
      </c>
      <c r="B180" s="25">
        <v>113</v>
      </c>
      <c r="C180" s="25">
        <v>-2.6202372394024072E-2</v>
      </c>
    </row>
    <row r="181" spans="1:3" x14ac:dyDescent="0.3">
      <c r="A181" s="28">
        <v>43732</v>
      </c>
      <c r="B181" s="25">
        <v>112</v>
      </c>
      <c r="C181" s="25">
        <v>-8.8889474172460393E-3</v>
      </c>
    </row>
    <row r="182" spans="1:3" x14ac:dyDescent="0.3">
      <c r="A182" s="28">
        <v>43733</v>
      </c>
      <c r="B182" s="25">
        <v>114</v>
      </c>
      <c r="C182" s="25">
        <v>1.7699577099400857E-2</v>
      </c>
    </row>
    <row r="183" spans="1:3" x14ac:dyDescent="0.3">
      <c r="A183" s="28">
        <v>43734</v>
      </c>
      <c r="B183" s="25">
        <v>111.1</v>
      </c>
      <c r="C183" s="25">
        <v>-2.576775174891123E-2</v>
      </c>
    </row>
    <row r="184" spans="1:3" x14ac:dyDescent="0.3">
      <c r="A184" s="28">
        <v>43735</v>
      </c>
      <c r="B184" s="25">
        <v>112.02</v>
      </c>
      <c r="C184" s="25">
        <v>8.2467301361020436E-3</v>
      </c>
    </row>
    <row r="185" spans="1:3" x14ac:dyDescent="0.3">
      <c r="A185" s="28">
        <v>43738</v>
      </c>
      <c r="B185" s="25">
        <v>112.02</v>
      </c>
      <c r="C185" s="25">
        <v>0</v>
      </c>
    </row>
    <row r="186" spans="1:3" x14ac:dyDescent="0.3">
      <c r="A186" s="28">
        <v>43739</v>
      </c>
      <c r="B186" s="25">
        <v>111</v>
      </c>
      <c r="C186" s="25">
        <v>-9.1472254693520955E-3</v>
      </c>
    </row>
    <row r="187" spans="1:3" x14ac:dyDescent="0.3">
      <c r="A187" s="28">
        <v>43740</v>
      </c>
      <c r="B187" s="25">
        <v>112</v>
      </c>
      <c r="C187" s="25">
        <v>8.9686699827603161E-3</v>
      </c>
    </row>
    <row r="188" spans="1:3" x14ac:dyDescent="0.3">
      <c r="A188" s="28">
        <v>43741</v>
      </c>
      <c r="B188" s="25">
        <v>110.5</v>
      </c>
      <c r="C188" s="25">
        <v>-1.3483350337286988E-2</v>
      </c>
    </row>
    <row r="189" spans="1:3" x14ac:dyDescent="0.3">
      <c r="A189" s="28">
        <v>43742</v>
      </c>
      <c r="B189" s="25">
        <v>110.7</v>
      </c>
      <c r="C189" s="25">
        <v>1.8083187567836808E-3</v>
      </c>
    </row>
    <row r="190" spans="1:3" x14ac:dyDescent="0.3">
      <c r="A190" s="28">
        <v>43745</v>
      </c>
      <c r="B190" s="25">
        <v>110.81</v>
      </c>
      <c r="C190" s="25">
        <v>9.9318323364282657E-4</v>
      </c>
    </row>
    <row r="191" spans="1:3" x14ac:dyDescent="0.3">
      <c r="A191" s="28">
        <v>43746</v>
      </c>
      <c r="B191" s="25">
        <v>110.1</v>
      </c>
      <c r="C191" s="25">
        <v>-6.4279792195998629E-3</v>
      </c>
    </row>
    <row r="192" spans="1:3" x14ac:dyDescent="0.3">
      <c r="A192" s="28">
        <v>43747</v>
      </c>
      <c r="B192" s="25">
        <v>110.9</v>
      </c>
      <c r="C192" s="25">
        <v>7.2398506276871782E-3</v>
      </c>
    </row>
    <row r="193" spans="1:3" x14ac:dyDescent="0.3">
      <c r="A193" s="28">
        <v>43748</v>
      </c>
      <c r="B193" s="25">
        <v>110.32</v>
      </c>
      <c r="C193" s="25">
        <v>-5.2436608712750701E-3</v>
      </c>
    </row>
    <row r="194" spans="1:3" x14ac:dyDescent="0.3">
      <c r="A194" s="28">
        <v>43749</v>
      </c>
      <c r="B194" s="25">
        <v>110.65</v>
      </c>
      <c r="C194" s="25">
        <v>2.9868330120124934E-3</v>
      </c>
    </row>
    <row r="195" spans="1:3" x14ac:dyDescent="0.3">
      <c r="A195" s="28">
        <v>43752</v>
      </c>
      <c r="B195" s="25">
        <v>110.7</v>
      </c>
      <c r="C195" s="25">
        <v>4.517732175325538E-4</v>
      </c>
    </row>
    <row r="196" spans="1:3" x14ac:dyDescent="0.3">
      <c r="A196" s="28">
        <v>43754</v>
      </c>
      <c r="B196" s="25">
        <v>111.49</v>
      </c>
      <c r="C196" s="25">
        <v>7.1110610648889164E-3</v>
      </c>
    </row>
    <row r="197" spans="1:3" x14ac:dyDescent="0.3">
      <c r="A197" s="28">
        <v>43755</v>
      </c>
      <c r="B197" s="25">
        <v>111.6</v>
      </c>
      <c r="C197" s="25">
        <v>9.8614916773041828E-4</v>
      </c>
    </row>
    <row r="198" spans="1:3" x14ac:dyDescent="0.3">
      <c r="A198" s="28">
        <v>43756</v>
      </c>
      <c r="B198" s="25">
        <v>112.9</v>
      </c>
      <c r="C198" s="25">
        <v>1.1581421208405905E-2</v>
      </c>
    </row>
    <row r="199" spans="1:3" x14ac:dyDescent="0.3">
      <c r="A199" s="28">
        <v>43759</v>
      </c>
      <c r="B199" s="25">
        <v>110.1</v>
      </c>
      <c r="C199" s="25">
        <v>-2.5113427426982169E-2</v>
      </c>
    </row>
    <row r="200" spans="1:3" x14ac:dyDescent="0.3">
      <c r="A200" s="28">
        <v>43760</v>
      </c>
      <c r="B200" s="25">
        <v>110.52</v>
      </c>
      <c r="C200" s="25">
        <v>3.8074563265814536E-3</v>
      </c>
    </row>
    <row r="201" spans="1:3" x14ac:dyDescent="0.3">
      <c r="A201" s="28">
        <v>43761</v>
      </c>
      <c r="B201" s="25">
        <v>110.28</v>
      </c>
      <c r="C201" s="25">
        <v>-2.1739138996197966E-3</v>
      </c>
    </row>
    <row r="202" spans="1:3" x14ac:dyDescent="0.3">
      <c r="A202" s="28">
        <v>43762</v>
      </c>
      <c r="B202" s="25">
        <v>110.5</v>
      </c>
      <c r="C202" s="25">
        <v>1.9929348022115429E-3</v>
      </c>
    </row>
    <row r="203" spans="1:3" x14ac:dyDescent="0.3">
      <c r="A203" s="28">
        <v>43763</v>
      </c>
      <c r="B203" s="25">
        <v>113</v>
      </c>
      <c r="C203" s="25">
        <v>2.2372297754532984E-2</v>
      </c>
    </row>
    <row r="204" spans="1:3" x14ac:dyDescent="0.3">
      <c r="A204" s="28">
        <v>43766</v>
      </c>
      <c r="B204" s="25">
        <v>113</v>
      </c>
      <c r="C204" s="25">
        <v>0</v>
      </c>
    </row>
    <row r="205" spans="1:3" x14ac:dyDescent="0.3">
      <c r="A205" s="28">
        <v>43767</v>
      </c>
      <c r="B205" s="25">
        <v>110.1</v>
      </c>
      <c r="C205" s="25">
        <v>-2.5998774983706355E-2</v>
      </c>
    </row>
    <row r="206" spans="1:3" x14ac:dyDescent="0.3">
      <c r="A206" s="28">
        <v>43768</v>
      </c>
      <c r="B206" s="25">
        <v>110.8</v>
      </c>
      <c r="C206" s="25">
        <v>6.3377305845491389E-3</v>
      </c>
    </row>
    <row r="207" spans="1:3" x14ac:dyDescent="0.3">
      <c r="A207" s="28">
        <v>43769</v>
      </c>
      <c r="B207" s="25">
        <v>110</v>
      </c>
      <c r="C207" s="25">
        <v>-7.2464085207671978E-3</v>
      </c>
    </row>
    <row r="208" spans="1:3" x14ac:dyDescent="0.3">
      <c r="A208" s="28">
        <v>43770</v>
      </c>
      <c r="B208" s="25">
        <v>110</v>
      </c>
      <c r="C208" s="25">
        <v>0</v>
      </c>
    </row>
    <row r="209" spans="1:3" x14ac:dyDescent="0.3">
      <c r="A209" s="28">
        <v>43773</v>
      </c>
      <c r="B209" s="25">
        <v>113</v>
      </c>
      <c r="C209" s="25">
        <v>2.6907452919924402E-2</v>
      </c>
    </row>
    <row r="210" spans="1:3" x14ac:dyDescent="0.3">
      <c r="A210" s="28">
        <v>43774</v>
      </c>
      <c r="B210" s="25">
        <v>113</v>
      </c>
      <c r="C210" s="25">
        <v>0</v>
      </c>
    </row>
    <row r="211" spans="1:3" x14ac:dyDescent="0.3">
      <c r="A211" s="28">
        <v>43775</v>
      </c>
      <c r="B211" s="25">
        <v>113</v>
      </c>
      <c r="C211" s="25">
        <v>0</v>
      </c>
    </row>
    <row r="212" spans="1:3" x14ac:dyDescent="0.3">
      <c r="A212" s="28">
        <v>43776</v>
      </c>
      <c r="B212" s="25">
        <v>112.5</v>
      </c>
      <c r="C212" s="25">
        <v>-4.4345970678657531E-3</v>
      </c>
    </row>
    <row r="213" spans="1:3" x14ac:dyDescent="0.3">
      <c r="A213" s="28">
        <v>43777</v>
      </c>
      <c r="B213" s="25">
        <v>112.02</v>
      </c>
      <c r="C213" s="25">
        <v>-4.2757948627886611E-3</v>
      </c>
    </row>
    <row r="214" spans="1:3" x14ac:dyDescent="0.3">
      <c r="A214" s="28">
        <v>43780</v>
      </c>
      <c r="B214" s="25">
        <v>111.99</v>
      </c>
      <c r="C214" s="25">
        <v>-2.6784518708408814E-4</v>
      </c>
    </row>
    <row r="215" spans="1:3" x14ac:dyDescent="0.3">
      <c r="A215" s="28">
        <v>43781</v>
      </c>
      <c r="B215" s="25">
        <v>112</v>
      </c>
      <c r="C215" s="25">
        <v>8.9289700492375848E-5</v>
      </c>
    </row>
    <row r="216" spans="1:3" x14ac:dyDescent="0.3">
      <c r="A216" s="28">
        <v>43782</v>
      </c>
      <c r="B216" s="25">
        <v>112.1</v>
      </c>
      <c r="C216" s="25">
        <v>8.924587830195697E-4</v>
      </c>
    </row>
    <row r="217" spans="1:3" x14ac:dyDescent="0.3">
      <c r="A217" s="28">
        <v>43783</v>
      </c>
      <c r="B217" s="25">
        <v>111</v>
      </c>
      <c r="C217" s="25">
        <v>-9.8611287657800698E-3</v>
      </c>
    </row>
    <row r="218" spans="1:3" x14ac:dyDescent="0.3">
      <c r="A218" s="28">
        <v>43784</v>
      </c>
      <c r="B218" s="25">
        <v>111.6</v>
      </c>
      <c r="C218" s="25">
        <v>5.390848634876373E-3</v>
      </c>
    </row>
    <row r="219" spans="1:3" x14ac:dyDescent="0.3">
      <c r="A219" s="28">
        <v>43787</v>
      </c>
      <c r="B219" s="25">
        <v>111</v>
      </c>
      <c r="C219" s="25">
        <v>-5.3908486348764233E-3</v>
      </c>
    </row>
    <row r="220" spans="1:3" x14ac:dyDescent="0.3">
      <c r="A220" s="28">
        <v>43788</v>
      </c>
      <c r="B220" s="25">
        <v>110.71</v>
      </c>
      <c r="C220" s="25">
        <v>-2.6160314409587834E-3</v>
      </c>
    </row>
    <row r="221" spans="1:3" x14ac:dyDescent="0.3">
      <c r="A221" s="28">
        <v>43789</v>
      </c>
      <c r="B221" s="25">
        <v>110.69</v>
      </c>
      <c r="C221" s="25">
        <v>-1.8066847384276761E-4</v>
      </c>
    </row>
    <row r="222" spans="1:3" x14ac:dyDescent="0.3">
      <c r="A222" s="28">
        <v>43790</v>
      </c>
      <c r="B222" s="25">
        <v>110.01</v>
      </c>
      <c r="C222" s="25">
        <v>-6.1622306461882412E-3</v>
      </c>
    </row>
    <row r="223" spans="1:3" x14ac:dyDescent="0.3">
      <c r="A223" s="28">
        <v>43791</v>
      </c>
      <c r="B223" s="25">
        <v>111</v>
      </c>
      <c r="C223" s="25">
        <v>8.9589305609897966E-3</v>
      </c>
    </row>
    <row r="224" spans="1:3" x14ac:dyDescent="0.3">
      <c r="A224" s="28">
        <v>43794</v>
      </c>
      <c r="B224" s="25">
        <v>111</v>
      </c>
      <c r="C224" s="25">
        <v>0</v>
      </c>
    </row>
    <row r="225" spans="1:3" x14ac:dyDescent="0.3">
      <c r="A225" s="28">
        <v>43795</v>
      </c>
      <c r="B225" s="25">
        <v>110.21</v>
      </c>
      <c r="C225" s="25">
        <v>-7.1425646088835986E-3</v>
      </c>
    </row>
    <row r="226" spans="1:3" x14ac:dyDescent="0.3">
      <c r="A226" s="28">
        <v>43796</v>
      </c>
      <c r="B226" s="25">
        <v>110.5</v>
      </c>
      <c r="C226" s="25">
        <v>2.6278842543569752E-3</v>
      </c>
    </row>
    <row r="227" spans="1:3" x14ac:dyDescent="0.3">
      <c r="A227" s="28">
        <v>43797</v>
      </c>
      <c r="B227" s="25">
        <v>111</v>
      </c>
      <c r="C227" s="25">
        <v>4.514680354526613E-3</v>
      </c>
    </row>
    <row r="228" spans="1:3" x14ac:dyDescent="0.3">
      <c r="A228" s="28">
        <v>43798</v>
      </c>
      <c r="B228" s="25">
        <v>111</v>
      </c>
      <c r="C228" s="25">
        <v>0</v>
      </c>
    </row>
    <row r="229" spans="1:3" x14ac:dyDescent="0.3">
      <c r="A229" s="28">
        <v>43801</v>
      </c>
      <c r="B229" s="25">
        <v>111</v>
      </c>
      <c r="C229" s="25">
        <v>0</v>
      </c>
    </row>
    <row r="230" spans="1:3" x14ac:dyDescent="0.3">
      <c r="A230" s="28">
        <v>43802</v>
      </c>
      <c r="B230" s="25">
        <v>111</v>
      </c>
      <c r="C230" s="25">
        <v>0</v>
      </c>
    </row>
    <row r="231" spans="1:3" x14ac:dyDescent="0.3">
      <c r="A231" s="28">
        <v>43803</v>
      </c>
      <c r="B231" s="25">
        <v>111</v>
      </c>
      <c r="C231" s="25">
        <v>0</v>
      </c>
    </row>
    <row r="232" spans="1:3" x14ac:dyDescent="0.3">
      <c r="A232" s="28">
        <v>43804</v>
      </c>
      <c r="B232" s="25">
        <v>111.01</v>
      </c>
      <c r="C232" s="25">
        <v>9.0086032221747952E-5</v>
      </c>
    </row>
    <row r="233" spans="1:3" x14ac:dyDescent="0.3">
      <c r="A233" s="28">
        <v>43805</v>
      </c>
      <c r="B233" s="25">
        <v>111.1</v>
      </c>
      <c r="C233" s="25">
        <v>8.1040930102833908E-4</v>
      </c>
    </row>
    <row r="234" spans="1:3" x14ac:dyDescent="0.3">
      <c r="A234" s="28">
        <v>43808</v>
      </c>
      <c r="B234" s="25">
        <v>111.17</v>
      </c>
      <c r="C234" s="25">
        <v>6.2986459993942881E-4</v>
      </c>
    </row>
    <row r="235" spans="1:3" x14ac:dyDescent="0.3">
      <c r="A235" s="28">
        <v>43809</v>
      </c>
      <c r="B235" s="25">
        <v>113</v>
      </c>
      <c r="C235" s="25">
        <v>1.6327257466817017E-2</v>
      </c>
    </row>
    <row r="236" spans="1:3" x14ac:dyDescent="0.3">
      <c r="A236" s="28">
        <v>43810</v>
      </c>
      <c r="B236" s="25">
        <v>111.6</v>
      </c>
      <c r="C236" s="25">
        <v>-1.2466768765130047E-2</v>
      </c>
    </row>
    <row r="237" spans="1:3" x14ac:dyDescent="0.3">
      <c r="A237" s="28">
        <v>43811</v>
      </c>
      <c r="B237" s="25">
        <v>112</v>
      </c>
      <c r="C237" s="25">
        <v>3.5778213478841235E-3</v>
      </c>
    </row>
    <row r="238" spans="1:3" x14ac:dyDescent="0.3">
      <c r="A238" s="28">
        <v>43812</v>
      </c>
      <c r="B238" s="25">
        <v>112</v>
      </c>
      <c r="C238" s="25">
        <v>0</v>
      </c>
    </row>
    <row r="239" spans="1:3" x14ac:dyDescent="0.3">
      <c r="A239" s="28">
        <v>43815</v>
      </c>
      <c r="B239" s="25">
        <v>112.5</v>
      </c>
      <c r="C239" s="25">
        <v>4.4543503493803746E-3</v>
      </c>
    </row>
    <row r="240" spans="1:3" x14ac:dyDescent="0.3">
      <c r="A240" s="28">
        <v>43816</v>
      </c>
      <c r="B240" s="25">
        <v>112.15</v>
      </c>
      <c r="C240" s="25">
        <v>-3.1159606782574516E-3</v>
      </c>
    </row>
    <row r="241" spans="1:3" x14ac:dyDescent="0.3">
      <c r="A241" s="28">
        <v>43817</v>
      </c>
      <c r="B241" s="25">
        <v>112.1</v>
      </c>
      <c r="C241" s="25">
        <v>-4.4593088810323162E-4</v>
      </c>
    </row>
    <row r="242" spans="1:3" x14ac:dyDescent="0.3">
      <c r="A242" s="28">
        <v>43818</v>
      </c>
      <c r="B242" s="25">
        <v>112.1</v>
      </c>
      <c r="C242" s="25">
        <v>0</v>
      </c>
    </row>
    <row r="243" spans="1:3" x14ac:dyDescent="0.3">
      <c r="A243" s="28">
        <v>43819</v>
      </c>
      <c r="B243" s="25">
        <v>112.3</v>
      </c>
      <c r="C243" s="25">
        <v>1.7825316662833468E-3</v>
      </c>
    </row>
    <row r="244" spans="1:3" x14ac:dyDescent="0.3">
      <c r="A244" s="28">
        <v>43822</v>
      </c>
      <c r="B244" s="25">
        <v>112.01</v>
      </c>
      <c r="C244" s="25">
        <v>-2.5857087207493291E-3</v>
      </c>
    </row>
    <row r="245" spans="1:3" x14ac:dyDescent="0.3">
      <c r="A245" s="28">
        <v>43823</v>
      </c>
      <c r="B245" s="25">
        <v>112.01</v>
      </c>
      <c r="C245" s="25">
        <v>0</v>
      </c>
    </row>
    <row r="246" spans="1:3" x14ac:dyDescent="0.3">
      <c r="A246" s="28">
        <v>43824</v>
      </c>
      <c r="B246" s="25">
        <v>112.8</v>
      </c>
      <c r="C246" s="25">
        <v>7.028186040310247E-3</v>
      </c>
    </row>
    <row r="247" spans="1:3" x14ac:dyDescent="0.3">
      <c r="A247" s="28">
        <v>43825</v>
      </c>
      <c r="B247" s="25">
        <v>112.6</v>
      </c>
      <c r="C247" s="25">
        <v>-1.7746233583684897E-3</v>
      </c>
    </row>
    <row r="248" spans="1:3" x14ac:dyDescent="0.3">
      <c r="A248" s="28">
        <v>43826</v>
      </c>
      <c r="B248" s="25">
        <v>115</v>
      </c>
      <c r="C248" s="25">
        <v>2.1090412657660075E-2</v>
      </c>
    </row>
    <row r="249" spans="1:3" x14ac:dyDescent="0.3">
      <c r="A249" s="28">
        <v>43829</v>
      </c>
      <c r="B249" s="25">
        <v>115</v>
      </c>
      <c r="C249" s="25">
        <v>0</v>
      </c>
    </row>
    <row r="250" spans="1:3" x14ac:dyDescent="0.3">
      <c r="A250" s="28">
        <v>43830</v>
      </c>
      <c r="B250" s="25">
        <v>116</v>
      </c>
      <c r="C250" s="25">
        <v>8.6580627431145311E-3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2021-01-17T05:36:27Z</dcterms:created>
  <dcterms:modified xsi:type="dcterms:W3CDTF">2021-01-24T07:36:13Z</dcterms:modified>
</cp:coreProperties>
</file>